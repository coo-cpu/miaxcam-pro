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5"/>
  </bookViews>
  <sheets>
    <sheet name="I-VGS=VDS R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<sst xmlns="http://schemas.openxmlformats.org/spreadsheetml/2006/main" count="6" uniqueCount="6">
  <si>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VDD/V</t>
  </si>
  <si>
    <t>VGS=VDS/V</t>
  </si>
  <si>
    <t>VDD-VDS</t>
  </si>
  <si>
    <t>i_D（mA）</t>
  </si>
  <si>
    <t>i_D^0.5</t>
  </si>
  <si>
    <t>RD Ohm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</si>
</sst>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i</a:t>
            </a:r>
            <a:r>
              <a:rPr lang="en-US" altLang="zh-CN"/>
              <a:t>D</a:t>
            </a:r>
            <a:r>
              <a:t> vs. </a:t>
            </a:r>
            <a:r>
              <a:rPr lang="en-US" altLang="zh-CN"/>
              <a:t>VGS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"id vs. vds"</c:f>
              <c:strCache>
                <c:ptCount val="1"/>
                <c:pt idx="0">
                  <c:v>id vs. vds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28118755352555"/>
                  <c:y val="0.0756880733944954"/>
                </c:manualLayout>
              </c:layout>
              <c:tx>
                <c:rich>
                  <a:bodyPr rot="0" spcFirstLastPara="0" vertOverflow="ellipsis" vert="horz" wrap="square" anchor="ctr" anchorCtr="1"/>
                  <a:lstStyle/>
                  <a:p>
                    <a:pPr>
                      <a:defRPr lang="zh-CN"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sz="1400"/>
                      <a:t>y = 66.6431 x</a:t>
                    </a:r>
                    <a:r>
                      <a:rPr sz="1400" baseline="35000"/>
                      <a:t>2.0000 </a:t>
                    </a:r>
                    <a:r>
                      <a:rPr sz="1400"/>
                      <a:t> - 231.0078 x + 178.6824 </a:t>
                    </a:r>
                    <a:br>
                      <a:rPr sz="1400"/>
                    </a:br>
                    <a:r>
                      <a:rPr sz="1400"/>
                      <a:t>R</a:t>
                    </a:r>
                    <a:r>
                      <a:rPr sz="1400" baseline="35000"/>
                      <a:t>2</a:t>
                    </a:r>
                    <a:r>
                      <a:rPr sz="1400"/>
                      <a:t> = 0.9875 </a:t>
                    </a:r>
                    <a:endParaRPr sz="1400"/>
                  </a:p>
                </c:rich>
              </c:tx>
              <c:numFmt formatCode="#,##0.0000_);[Red]\(#,##0.000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'I-VGS=VDS R10'!$B$2:$B$65</c:f>
              <c:numCache>
                <c:formatCode>General</c:formatCode>
                <c:ptCount val="64"/>
                <c:pt idx="0">
                  <c:v>1.999645233</c:v>
                </c:pt>
                <c:pt idx="1">
                  <c:v>2.003171921</c:v>
                </c:pt>
                <c:pt idx="2">
                  <c:v>2.099721909</c:v>
                </c:pt>
                <c:pt idx="3">
                  <c:v>2.097797394</c:v>
                </c:pt>
                <c:pt idx="4">
                  <c:v>2.192102432</c:v>
                </c:pt>
                <c:pt idx="5">
                  <c:v>2.192102432</c:v>
                </c:pt>
                <c:pt idx="6">
                  <c:v>2.274217606</c:v>
                </c:pt>
                <c:pt idx="7">
                  <c:v>2.278066635</c:v>
                </c:pt>
                <c:pt idx="8">
                  <c:v>2.353124619</c:v>
                </c:pt>
                <c:pt idx="9">
                  <c:v>2.354408264</c:v>
                </c:pt>
                <c:pt idx="10">
                  <c:v>2.433637619</c:v>
                </c:pt>
                <c:pt idx="11">
                  <c:v>2.430109024</c:v>
                </c:pt>
                <c:pt idx="12">
                  <c:v>2.496505737</c:v>
                </c:pt>
                <c:pt idx="13">
                  <c:v>2.497468948</c:v>
                </c:pt>
                <c:pt idx="14">
                  <c:v>2.555526733</c:v>
                </c:pt>
                <c:pt idx="15">
                  <c:v>2.556167603</c:v>
                </c:pt>
                <c:pt idx="16">
                  <c:v>2.609735489</c:v>
                </c:pt>
                <c:pt idx="17">
                  <c:v>2.608131409</c:v>
                </c:pt>
                <c:pt idx="18">
                  <c:v>2.657209396</c:v>
                </c:pt>
                <c:pt idx="19">
                  <c:v>2.655925751</c:v>
                </c:pt>
                <c:pt idx="20">
                  <c:v>2.704681396</c:v>
                </c:pt>
                <c:pt idx="21">
                  <c:v>2.705001831</c:v>
                </c:pt>
                <c:pt idx="22">
                  <c:v>2.74638176</c:v>
                </c:pt>
                <c:pt idx="23">
                  <c:v>2.747343063</c:v>
                </c:pt>
                <c:pt idx="24">
                  <c:v>2.78519249</c:v>
                </c:pt>
                <c:pt idx="25">
                  <c:v>2.787118912</c:v>
                </c:pt>
                <c:pt idx="26">
                  <c:v>2.822723389</c:v>
                </c:pt>
                <c:pt idx="27">
                  <c:v>2.821119308</c:v>
                </c:pt>
                <c:pt idx="28">
                  <c:v>2.859931946</c:v>
                </c:pt>
                <c:pt idx="29">
                  <c:v>2.858968735</c:v>
                </c:pt>
                <c:pt idx="30">
                  <c:v>2.892648697</c:v>
                </c:pt>
                <c:pt idx="31">
                  <c:v>2.893611908</c:v>
                </c:pt>
                <c:pt idx="32">
                  <c:v>2.924724579</c:v>
                </c:pt>
                <c:pt idx="33">
                  <c:v>2.925046921</c:v>
                </c:pt>
                <c:pt idx="34">
                  <c:v>2.958726883</c:v>
                </c:pt>
                <c:pt idx="35">
                  <c:v>2.958084106</c:v>
                </c:pt>
                <c:pt idx="36">
                  <c:v>2.989198685</c:v>
                </c:pt>
                <c:pt idx="37">
                  <c:v>2.988237381</c:v>
                </c:pt>
                <c:pt idx="38">
                  <c:v>3.019029617</c:v>
                </c:pt>
                <c:pt idx="39">
                  <c:v>3.019029617</c:v>
                </c:pt>
                <c:pt idx="40">
                  <c:v>3.048219681</c:v>
                </c:pt>
                <c:pt idx="41">
                  <c:v>3.04886055</c:v>
                </c:pt>
                <c:pt idx="42">
                  <c:v>3.109165192</c:v>
                </c:pt>
                <c:pt idx="43">
                  <c:v>3.10884285</c:v>
                </c:pt>
                <c:pt idx="44">
                  <c:v>3.167543411</c:v>
                </c:pt>
                <c:pt idx="45">
                  <c:v>3.167863846</c:v>
                </c:pt>
                <c:pt idx="46">
                  <c:v>3.223035812</c:v>
                </c:pt>
                <c:pt idx="47">
                  <c:v>3.222393036</c:v>
                </c:pt>
                <c:pt idx="48">
                  <c:v>3.278526306</c:v>
                </c:pt>
                <c:pt idx="49">
                  <c:v>3.279169083</c:v>
                </c:pt>
                <c:pt idx="50">
                  <c:v>3.335622787</c:v>
                </c:pt>
                <c:pt idx="51">
                  <c:v>3.335943222</c:v>
                </c:pt>
                <c:pt idx="52">
                  <c:v>3.477079391</c:v>
                </c:pt>
                <c:pt idx="53">
                  <c:v>3.476118088</c:v>
                </c:pt>
                <c:pt idx="54">
                  <c:v>3.621103287</c:v>
                </c:pt>
                <c:pt idx="55">
                  <c:v>3.620780945</c:v>
                </c:pt>
                <c:pt idx="56">
                  <c:v>3.767049789</c:v>
                </c:pt>
                <c:pt idx="57">
                  <c:v>3.768333435</c:v>
                </c:pt>
                <c:pt idx="58">
                  <c:v>3.922618866</c:v>
                </c:pt>
                <c:pt idx="59">
                  <c:v>3.923261642</c:v>
                </c:pt>
                <c:pt idx="60">
                  <c:v>4.083963394</c:v>
                </c:pt>
                <c:pt idx="61">
                  <c:v>4.083322525</c:v>
                </c:pt>
                <c:pt idx="62">
                  <c:v>4.253967285</c:v>
                </c:pt>
                <c:pt idx="63">
                  <c:v>4.254930496</c:v>
                </c:pt>
              </c:numCache>
            </c:numRef>
          </c:xVal>
          <c:yVal>
            <c:numRef>
              <c:f>'I-VGS=VDS R10'!$D$2:$D$65</c:f>
              <c:numCache>
                <c:formatCode>General</c:formatCode>
                <c:ptCount val="64"/>
                <c:pt idx="0">
                  <c:v>0.2252579</c:v>
                </c:pt>
                <c:pt idx="1">
                  <c:v>0.2252579</c:v>
                </c:pt>
                <c:pt idx="2">
                  <c:v>0.5138397</c:v>
                </c:pt>
                <c:pt idx="3">
                  <c:v>0.5138397</c:v>
                </c:pt>
                <c:pt idx="4">
                  <c:v>1.1875153</c:v>
                </c:pt>
                <c:pt idx="5">
                  <c:v>1.1875153</c:v>
                </c:pt>
                <c:pt idx="6">
                  <c:v>2.5026321</c:v>
                </c:pt>
                <c:pt idx="7">
                  <c:v>2.406311</c:v>
                </c:pt>
                <c:pt idx="8">
                  <c:v>4.2987823</c:v>
                </c:pt>
                <c:pt idx="9">
                  <c:v>4.3310165</c:v>
                </c:pt>
                <c:pt idx="10">
                  <c:v>7.0894241</c:v>
                </c:pt>
                <c:pt idx="11">
                  <c:v>7.0894241</c:v>
                </c:pt>
                <c:pt idx="12">
                  <c:v>10.5537415</c:v>
                </c:pt>
                <c:pt idx="13">
                  <c:v>10.5537415</c:v>
                </c:pt>
                <c:pt idx="14">
                  <c:v>14.6915436</c:v>
                </c:pt>
                <c:pt idx="15">
                  <c:v>14.6915436</c:v>
                </c:pt>
                <c:pt idx="16">
                  <c:v>18.9577103</c:v>
                </c:pt>
                <c:pt idx="17">
                  <c:v>19.0860748</c:v>
                </c:pt>
                <c:pt idx="18">
                  <c:v>23.9616394</c:v>
                </c:pt>
                <c:pt idx="19">
                  <c:v>23.9936829</c:v>
                </c:pt>
                <c:pt idx="20">
                  <c:v>29.5749664</c:v>
                </c:pt>
                <c:pt idx="21">
                  <c:v>29.5749664</c:v>
                </c:pt>
                <c:pt idx="22">
                  <c:v>35.3487015</c:v>
                </c:pt>
                <c:pt idx="23">
                  <c:v>35.316658</c:v>
                </c:pt>
                <c:pt idx="24">
                  <c:v>41.1224365</c:v>
                </c:pt>
                <c:pt idx="25">
                  <c:v>41.1224365</c:v>
                </c:pt>
                <c:pt idx="26">
                  <c:v>47.3453522</c:v>
                </c:pt>
                <c:pt idx="27">
                  <c:v>47.3453522</c:v>
                </c:pt>
                <c:pt idx="28">
                  <c:v>53.7284851</c:v>
                </c:pt>
                <c:pt idx="29">
                  <c:v>53.7605286</c:v>
                </c:pt>
                <c:pt idx="30">
                  <c:v>60.4644775</c:v>
                </c:pt>
                <c:pt idx="31">
                  <c:v>60.4644775</c:v>
                </c:pt>
                <c:pt idx="32">
                  <c:v>67.1363831</c:v>
                </c:pt>
                <c:pt idx="33">
                  <c:v>67.1363831</c:v>
                </c:pt>
                <c:pt idx="34">
                  <c:v>73.7119675</c:v>
                </c:pt>
                <c:pt idx="35">
                  <c:v>73.7119675</c:v>
                </c:pt>
                <c:pt idx="36">
                  <c:v>80.4801941</c:v>
                </c:pt>
                <c:pt idx="37">
                  <c:v>80.4481506</c:v>
                </c:pt>
                <c:pt idx="38">
                  <c:v>87.4406815</c:v>
                </c:pt>
                <c:pt idx="39">
                  <c:v>87.5047684</c:v>
                </c:pt>
                <c:pt idx="40">
                  <c:v>94.2409515</c:v>
                </c:pt>
                <c:pt idx="41">
                  <c:v>94.2087173</c:v>
                </c:pt>
                <c:pt idx="42">
                  <c:v>108.0337524</c:v>
                </c:pt>
                <c:pt idx="43">
                  <c:v>108.0337524</c:v>
                </c:pt>
                <c:pt idx="44">
                  <c:v>122.3075867</c:v>
                </c:pt>
                <c:pt idx="45">
                  <c:v>122.3075867</c:v>
                </c:pt>
                <c:pt idx="46">
                  <c:v>136.7099762</c:v>
                </c:pt>
                <c:pt idx="47">
                  <c:v>136.6779327</c:v>
                </c:pt>
                <c:pt idx="48">
                  <c:v>150.9197235</c:v>
                </c:pt>
                <c:pt idx="49">
                  <c:v>150.951767</c:v>
                </c:pt>
                <c:pt idx="50">
                  <c:v>165.161705</c:v>
                </c:pt>
                <c:pt idx="51">
                  <c:v>165.1937485</c:v>
                </c:pt>
                <c:pt idx="52">
                  <c:v>200.6700516</c:v>
                </c:pt>
                <c:pt idx="53">
                  <c:v>200.6700516</c:v>
                </c:pt>
                <c:pt idx="54">
                  <c:v>236.2426758</c:v>
                </c:pt>
                <c:pt idx="55">
                  <c:v>236.2426758</c:v>
                </c:pt>
                <c:pt idx="56">
                  <c:v>271.0454941</c:v>
                </c:pt>
                <c:pt idx="57">
                  <c:v>271.0134506</c:v>
                </c:pt>
                <c:pt idx="58">
                  <c:v>305.3672791</c:v>
                </c:pt>
                <c:pt idx="59">
                  <c:v>305.3352356</c:v>
                </c:pt>
                <c:pt idx="60">
                  <c:v>338.9511108</c:v>
                </c:pt>
                <c:pt idx="61">
                  <c:v>339.0474319</c:v>
                </c:pt>
                <c:pt idx="62">
                  <c:v>371.8294144</c:v>
                </c:pt>
                <c:pt idx="63">
                  <c:v>371.8294144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5444131"/>
        <c:axId val="718390745"/>
      </c:scatterChart>
      <c:valAx>
        <c:axId val="965444131"/>
        <c:scaling>
          <c:orientation val="minMax"/>
          <c:max val="4.5"/>
          <c:min val="1.9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400"/>
                  <a:t>VGS(V)</a:t>
                </a:r>
                <a:endParaRPr lang="en-US" altLang="zh-CN" sz="1400"/>
              </a:p>
            </c:rich>
          </c:tx>
          <c:layout>
            <c:manualLayout>
              <c:xMode val="edge"/>
              <c:yMode val="edge"/>
              <c:x val="0.494557046341231"/>
              <c:y val="0.83639143730886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8390745"/>
        <c:crosses val="autoZero"/>
        <c:crossBetween val="midCat"/>
        <c:majorUnit val="0.2"/>
      </c:valAx>
      <c:valAx>
        <c:axId val="718390745"/>
        <c:scaling>
          <c:orientation val="minMax"/>
          <c:max val="4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iD(mA)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5444131"/>
        <c:crosses val="autoZero"/>
        <c:crossBetween val="midCat"/>
        <c:majorUnit val="100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3a10668-b43f-4922-a208-fd5c4890890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i_D^0.5 vs. </a:t>
            </a:r>
            <a:r>
              <a:rPr lang="en-US" altLang="zh-CN"/>
              <a:t>VGS</a:t>
            </a:r>
            <a:endParaRPr lang="en-US" altLang="zh-CN"/>
          </a:p>
        </c:rich>
      </c:tx>
      <c:layout>
        <c:manualLayout>
          <c:xMode val="edge"/>
          <c:yMode val="edge"/>
          <c:x val="0.438005519078885"/>
          <c:y val="0.01834862385321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"id^0.5 vs. vds"</c:f>
              <c:strCache>
                <c:ptCount val="1"/>
                <c:pt idx="0">
                  <c:v>id^0.5 vs. vds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61949859980119"/>
                  <c:y val="0.0658743111076739"/>
                </c:manualLayout>
              </c:layout>
              <c:numFmt formatCode="#,##0.00000_);[Red]\(#,##0.0000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'I-VGS=VDS R10'!$B$18:$B$45</c:f>
              <c:numCache>
                <c:formatCode>General</c:formatCode>
                <c:ptCount val="28"/>
                <c:pt idx="0">
                  <c:v>2.609735489</c:v>
                </c:pt>
                <c:pt idx="1">
                  <c:v>2.608131409</c:v>
                </c:pt>
                <c:pt idx="2">
                  <c:v>2.657209396</c:v>
                </c:pt>
                <c:pt idx="3">
                  <c:v>2.655925751</c:v>
                </c:pt>
                <c:pt idx="4">
                  <c:v>2.704681396</c:v>
                </c:pt>
                <c:pt idx="5">
                  <c:v>2.705001831</c:v>
                </c:pt>
                <c:pt idx="6">
                  <c:v>2.74638176</c:v>
                </c:pt>
                <c:pt idx="7">
                  <c:v>2.747343063</c:v>
                </c:pt>
                <c:pt idx="8">
                  <c:v>2.78519249</c:v>
                </c:pt>
                <c:pt idx="9">
                  <c:v>2.787118912</c:v>
                </c:pt>
                <c:pt idx="10">
                  <c:v>2.822723389</c:v>
                </c:pt>
                <c:pt idx="11">
                  <c:v>2.821119308</c:v>
                </c:pt>
                <c:pt idx="12">
                  <c:v>2.859931946</c:v>
                </c:pt>
                <c:pt idx="13">
                  <c:v>2.858968735</c:v>
                </c:pt>
                <c:pt idx="14">
                  <c:v>2.892648697</c:v>
                </c:pt>
                <c:pt idx="15">
                  <c:v>2.893611908</c:v>
                </c:pt>
                <c:pt idx="16">
                  <c:v>2.924724579</c:v>
                </c:pt>
                <c:pt idx="17">
                  <c:v>2.925046921</c:v>
                </c:pt>
                <c:pt idx="18">
                  <c:v>2.958726883</c:v>
                </c:pt>
                <c:pt idx="19">
                  <c:v>2.958084106</c:v>
                </c:pt>
                <c:pt idx="20">
                  <c:v>2.989198685</c:v>
                </c:pt>
                <c:pt idx="21">
                  <c:v>2.988237381</c:v>
                </c:pt>
                <c:pt idx="22">
                  <c:v>3.019029617</c:v>
                </c:pt>
                <c:pt idx="23">
                  <c:v>3.019029617</c:v>
                </c:pt>
                <c:pt idx="24">
                  <c:v>3.048219681</c:v>
                </c:pt>
                <c:pt idx="25">
                  <c:v>3.04886055</c:v>
                </c:pt>
                <c:pt idx="26">
                  <c:v>3.109165192</c:v>
                </c:pt>
                <c:pt idx="27">
                  <c:v>3.10884285</c:v>
                </c:pt>
              </c:numCache>
            </c:numRef>
          </c:xVal>
          <c:yVal>
            <c:numRef>
              <c:f>'I-VGS=VDS R10'!$E$18:$E$45</c:f>
              <c:numCache>
                <c:formatCode>General</c:formatCode>
                <c:ptCount val="28"/>
                <c:pt idx="0">
                  <c:v>0.137687001202002</c:v>
                </c:pt>
                <c:pt idx="1">
                  <c:v>0.138152360819495</c:v>
                </c:pt>
                <c:pt idx="2">
                  <c:v>0.154795476032086</c:v>
                </c:pt>
                <c:pt idx="3">
                  <c:v>0.154898944153922</c:v>
                </c:pt>
                <c:pt idx="4">
                  <c:v>0.171973737529891</c:v>
                </c:pt>
                <c:pt idx="5">
                  <c:v>0.171973737529891</c:v>
                </c:pt>
                <c:pt idx="6">
                  <c:v>0.188012503573566</c:v>
                </c:pt>
                <c:pt idx="7">
                  <c:v>0.187927267845834</c:v>
                </c:pt>
                <c:pt idx="8">
                  <c:v>0.202786677323733</c:v>
                </c:pt>
                <c:pt idx="9">
                  <c:v>0.202786677323733</c:v>
                </c:pt>
                <c:pt idx="10">
                  <c:v>0.217589871547368</c:v>
                </c:pt>
                <c:pt idx="11">
                  <c:v>0.217589871547368</c:v>
                </c:pt>
                <c:pt idx="12">
                  <c:v>0.231794057516581</c:v>
                </c:pt>
                <c:pt idx="13">
                  <c:v>0.231863167838275</c:v>
                </c:pt>
                <c:pt idx="14">
                  <c:v>0.245895257172643</c:v>
                </c:pt>
                <c:pt idx="15">
                  <c:v>0.245895257172643</c:v>
                </c:pt>
                <c:pt idx="16">
                  <c:v>0.259106895122457</c:v>
                </c:pt>
                <c:pt idx="17">
                  <c:v>0.259106895122457</c:v>
                </c:pt>
                <c:pt idx="18">
                  <c:v>0.271499479741675</c:v>
                </c:pt>
                <c:pt idx="19">
                  <c:v>0.271499479741675</c:v>
                </c:pt>
                <c:pt idx="20">
                  <c:v>0.283690313722552</c:v>
                </c:pt>
                <c:pt idx="21">
                  <c:v>0.283633831903037</c:v>
                </c:pt>
                <c:pt idx="22">
                  <c:v>0.295703705590579</c:v>
                </c:pt>
                <c:pt idx="23">
                  <c:v>0.29581204911227</c:v>
                </c:pt>
                <c:pt idx="24">
                  <c:v>0.306986891413949</c:v>
                </c:pt>
                <c:pt idx="25">
                  <c:v>0.306934385985018</c:v>
                </c:pt>
                <c:pt idx="26">
                  <c:v>0.328684883132766</c:v>
                </c:pt>
                <c:pt idx="27">
                  <c:v>0.328684883132766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5444131"/>
        <c:axId val="718390745"/>
      </c:scatterChart>
      <c:valAx>
        <c:axId val="965444131"/>
        <c:scaling>
          <c:orientation val="minMax"/>
          <c:max val="3.2"/>
          <c:min val="2.5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400"/>
                  <a:t>VGS(V)</a:t>
                </a:r>
                <a:endParaRPr lang="en-US" altLang="zh-CN" sz="1400"/>
              </a:p>
            </c:rich>
          </c:tx>
          <c:layout>
            <c:manualLayout>
              <c:xMode val="edge"/>
              <c:yMode val="edge"/>
              <c:x val="0.494557046341231"/>
              <c:y val="0.83639143730886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8390745"/>
        <c:crosses val="autoZero"/>
        <c:crossBetween val="midCat"/>
        <c:majorUnit val="0.05"/>
      </c:valAx>
      <c:valAx>
        <c:axId val="718390745"/>
        <c:scaling>
          <c:orientation val="minMax"/>
          <c:max val="0.35"/>
          <c:min val="0.13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i_D^0.5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5444131"/>
        <c:crosses val="autoZero"/>
        <c:crossBetween val="midCat"/>
        <c:majorUnit val="0.05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3a10668-b43f-4922-a208-fd5c4890890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295275</xdr:colOff>
      <xdr:row>19</xdr:row>
      <xdr:rowOff>66675</xdr:rowOff>
    </xdr:from>
    <xdr:to>
      <xdr:col>16</xdr:col>
      <xdr:colOff>110490</xdr:colOff>
      <xdr:row>43</xdr:row>
      <xdr:rowOff>104775</xdr:rowOff>
    </xdr:to>
    <xdr:graphicFrame>
      <xdr:nvGraphicFramePr>
        <xdr:cNvPr id="2" name="图表 1"/>
        <xdr:cNvGraphicFramePr/>
      </xdr:nvGraphicFramePr>
      <xdr:xfrm>
        <a:off x="5048250" y="3324225"/>
        <a:ext cx="6673215" cy="4152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457200</xdr:colOff>
      <xdr:row>52</xdr:row>
      <xdr:rowOff>0</xdr:rowOff>
    </xdr:from>
    <xdr:to>
      <xdr:col>16</xdr:col>
      <xdr:colOff>272415</xdr:colOff>
      <xdr:row>76</xdr:row>
      <xdr:rowOff>38100</xdr:rowOff>
    </xdr:to>
    <xdr:graphicFrame>
      <xdr:nvGraphicFramePr>
        <xdr:cNvPr id="3" name="图表 2"/>
        <xdr:cNvGraphicFramePr/>
      </xdr:nvGraphicFramePr>
      <xdr:xfrm>
        <a:off x="5210175" y="8915400"/>
        <a:ext cx="6673215" cy="4152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5"/>
  <sheetViews>
    <sheetView tabSelected="1" zoomScaleSheetLayoutView="60" workbookViewId="0">
      <selection activeCell="J9" sqref="J9"/>
    </sheetView>
  </sheetViews>
  <sheetFormatPr defaultColWidth="9" defaultRowHeight="13.5" outlineLevelCol="5"/>
  <cols>
    <col min="2" max="2" width="10.125" customWidth="1"/>
    <col min="4" max="5" width="12.625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2.003171921</v>
      </c>
      <c r="B2">
        <v>1.999645233</v>
      </c>
      <c r="C2">
        <v>0.002252579</v>
      </c>
      <c r="D2">
        <f>C2/F2*1000</f>
        <v>0.2252579</v>
      </c>
      <c r="E2">
        <f>(D2/1000)^0.5</f>
        <v>0.0150085942046549</v>
      </c>
      <c r="F2">
        <v>10</v>
      </c>
    </row>
    <row r="3" spans="1:6">
      <c r="A3">
        <v>2.001247406</v>
      </c>
      <c r="B3">
        <v>2.003171921</v>
      </c>
      <c r="C3">
        <v>0.002252579</v>
      </c>
      <c r="D3">
        <f t="shared" ref="D3:D34" si="0">C3/F3*1000</f>
        <v>0.2252579</v>
      </c>
      <c r="E3">
        <f t="shared" ref="E3:E34" si="1">(D3/1000)^0.5</f>
        <v>0.0150085942046549</v>
      </c>
      <c r="F3">
        <v>10</v>
      </c>
    </row>
    <row r="4" spans="1:6">
      <c r="A4">
        <v>2.101005554</v>
      </c>
      <c r="B4">
        <v>2.099721909</v>
      </c>
      <c r="C4">
        <v>0.005138397</v>
      </c>
      <c r="D4">
        <f t="shared" si="0"/>
        <v>0.5138397</v>
      </c>
      <c r="E4">
        <f t="shared" si="1"/>
        <v>0.022668032556885</v>
      </c>
      <c r="F4">
        <v>10</v>
      </c>
    </row>
    <row r="5" spans="1:6">
      <c r="A5">
        <v>2.1022892</v>
      </c>
      <c r="B5">
        <v>2.097797394</v>
      </c>
      <c r="C5">
        <v>0.005138397</v>
      </c>
      <c r="D5">
        <f t="shared" si="0"/>
        <v>0.5138397</v>
      </c>
      <c r="E5">
        <f t="shared" si="1"/>
        <v>0.022668032556885</v>
      </c>
      <c r="F5">
        <v>10</v>
      </c>
    </row>
    <row r="6" spans="1:6">
      <c r="A6">
        <v>2.202365875</v>
      </c>
      <c r="B6">
        <v>2.192102432</v>
      </c>
      <c r="C6">
        <v>0.011875153</v>
      </c>
      <c r="D6">
        <f t="shared" si="0"/>
        <v>1.1875153</v>
      </c>
      <c r="E6">
        <f t="shared" si="1"/>
        <v>0.034460343875243</v>
      </c>
      <c r="F6">
        <v>10</v>
      </c>
    </row>
    <row r="7" spans="1:6">
      <c r="A7">
        <v>2.202365875</v>
      </c>
      <c r="B7">
        <v>2.192102432</v>
      </c>
      <c r="C7">
        <v>0.011875153</v>
      </c>
      <c r="D7">
        <f t="shared" si="0"/>
        <v>1.1875153</v>
      </c>
      <c r="E7">
        <f t="shared" si="1"/>
        <v>0.034460343875243</v>
      </c>
      <c r="F7">
        <v>10</v>
      </c>
    </row>
    <row r="8" spans="1:6">
      <c r="A8">
        <v>2.299236298</v>
      </c>
      <c r="B8">
        <v>2.274217606</v>
      </c>
      <c r="C8">
        <v>0.025026321</v>
      </c>
      <c r="D8">
        <f t="shared" si="0"/>
        <v>2.5026321</v>
      </c>
      <c r="E8">
        <f t="shared" si="1"/>
        <v>0.0500263140756942</v>
      </c>
      <c r="F8">
        <v>10</v>
      </c>
    </row>
    <row r="9" spans="1:6">
      <c r="A9">
        <v>2.29955864</v>
      </c>
      <c r="B9">
        <v>2.278066635</v>
      </c>
      <c r="C9">
        <v>0.02406311</v>
      </c>
      <c r="D9">
        <f t="shared" si="0"/>
        <v>2.406311</v>
      </c>
      <c r="E9">
        <f t="shared" si="1"/>
        <v>0.0490541639415045</v>
      </c>
      <c r="F9">
        <v>10</v>
      </c>
    </row>
    <row r="10" spans="1:6">
      <c r="A10">
        <v>2.39931488</v>
      </c>
      <c r="B10">
        <v>2.353124619</v>
      </c>
      <c r="C10">
        <v>0.042987823</v>
      </c>
      <c r="D10">
        <f t="shared" si="0"/>
        <v>4.2987823</v>
      </c>
      <c r="E10">
        <f t="shared" si="1"/>
        <v>0.0655650997101354</v>
      </c>
      <c r="F10">
        <v>10</v>
      </c>
    </row>
    <row r="11" spans="1:6">
      <c r="A11">
        <v>2.397390366</v>
      </c>
      <c r="B11">
        <v>2.354408264</v>
      </c>
      <c r="C11">
        <v>0.043310165</v>
      </c>
      <c r="D11">
        <f t="shared" si="0"/>
        <v>4.3310165</v>
      </c>
      <c r="E11">
        <f t="shared" si="1"/>
        <v>0.0658104588952242</v>
      </c>
      <c r="F11">
        <v>10</v>
      </c>
    </row>
    <row r="12" spans="1:6">
      <c r="A12">
        <v>2.503562927</v>
      </c>
      <c r="B12">
        <v>2.433637619</v>
      </c>
      <c r="C12">
        <v>0.070894241</v>
      </c>
      <c r="D12">
        <f t="shared" si="0"/>
        <v>7.0894241</v>
      </c>
      <c r="E12">
        <f t="shared" si="1"/>
        <v>0.0841987179237309</v>
      </c>
      <c r="F12">
        <v>10</v>
      </c>
    </row>
    <row r="13" spans="1:6">
      <c r="A13">
        <v>2.505167007</v>
      </c>
      <c r="B13">
        <v>2.430109024</v>
      </c>
      <c r="C13">
        <v>0.070894241</v>
      </c>
      <c r="D13">
        <f t="shared" si="0"/>
        <v>7.0894241</v>
      </c>
      <c r="E13">
        <f t="shared" si="1"/>
        <v>0.0841987179237309</v>
      </c>
      <c r="F13">
        <v>10</v>
      </c>
    </row>
    <row r="14" spans="1:6">
      <c r="A14">
        <v>2.603000641</v>
      </c>
      <c r="B14">
        <v>2.496505737</v>
      </c>
      <c r="C14">
        <v>0.105537415</v>
      </c>
      <c r="D14">
        <f t="shared" si="0"/>
        <v>10.5537415</v>
      </c>
      <c r="E14">
        <f t="shared" si="1"/>
        <v>0.102731404643371</v>
      </c>
      <c r="F14">
        <v>10</v>
      </c>
    </row>
    <row r="15" spans="1:6">
      <c r="A15">
        <v>2.601076126</v>
      </c>
      <c r="B15">
        <v>2.497468948</v>
      </c>
      <c r="C15">
        <v>0.105537415</v>
      </c>
      <c r="D15">
        <f t="shared" si="0"/>
        <v>10.5537415</v>
      </c>
      <c r="E15">
        <f t="shared" si="1"/>
        <v>0.102731404643371</v>
      </c>
      <c r="F15">
        <v>10</v>
      </c>
    </row>
    <row r="16" spans="1:6">
      <c r="A16">
        <v>2.699871063</v>
      </c>
      <c r="B16">
        <v>2.555526733</v>
      </c>
      <c r="C16">
        <v>0.146915436</v>
      </c>
      <c r="D16">
        <f t="shared" si="0"/>
        <v>14.6915436</v>
      </c>
      <c r="E16">
        <f t="shared" si="1"/>
        <v>0.121208677907153</v>
      </c>
      <c r="F16">
        <v>10</v>
      </c>
    </row>
    <row r="17" spans="1:6">
      <c r="A17">
        <v>2.697946548</v>
      </c>
      <c r="B17">
        <v>2.556167603</v>
      </c>
      <c r="C17">
        <v>0.146915436</v>
      </c>
      <c r="D17">
        <f t="shared" si="0"/>
        <v>14.6915436</v>
      </c>
      <c r="E17">
        <f t="shared" si="1"/>
        <v>0.121208677907153</v>
      </c>
      <c r="F17">
        <v>10</v>
      </c>
    </row>
    <row r="18" spans="1:6">
      <c r="A18">
        <v>2.801551819</v>
      </c>
      <c r="B18">
        <v>2.609735489</v>
      </c>
      <c r="C18">
        <v>0.189577103</v>
      </c>
      <c r="D18">
        <f t="shared" si="0"/>
        <v>18.9577103</v>
      </c>
      <c r="E18">
        <f t="shared" si="1"/>
        <v>0.137687001202002</v>
      </c>
      <c r="F18">
        <v>10</v>
      </c>
    </row>
    <row r="19" spans="1:6">
      <c r="A19">
        <v>2.797702789</v>
      </c>
      <c r="B19">
        <v>2.608131409</v>
      </c>
      <c r="C19">
        <v>0.190860748</v>
      </c>
      <c r="D19">
        <f t="shared" si="0"/>
        <v>19.0860748</v>
      </c>
      <c r="E19">
        <f t="shared" si="1"/>
        <v>0.138152360819495</v>
      </c>
      <c r="F19">
        <v>10</v>
      </c>
    </row>
    <row r="20" spans="1:6">
      <c r="A20">
        <v>2.895856857</v>
      </c>
      <c r="B20">
        <v>2.657209396</v>
      </c>
      <c r="C20">
        <v>0.239616394</v>
      </c>
      <c r="D20">
        <f t="shared" si="0"/>
        <v>23.9616394</v>
      </c>
      <c r="E20">
        <f t="shared" si="1"/>
        <v>0.154795476032086</v>
      </c>
      <c r="F20">
        <v>10</v>
      </c>
    </row>
    <row r="21" spans="1:6">
      <c r="A21">
        <v>2.900026321</v>
      </c>
      <c r="B21">
        <v>2.655925751</v>
      </c>
      <c r="C21">
        <v>0.239936829</v>
      </c>
      <c r="D21">
        <f t="shared" si="0"/>
        <v>23.9936829</v>
      </c>
      <c r="E21">
        <f t="shared" si="1"/>
        <v>0.154898944153922</v>
      </c>
      <c r="F21">
        <v>10</v>
      </c>
    </row>
    <row r="22" spans="1:6">
      <c r="A22">
        <v>2.997859955</v>
      </c>
      <c r="B22">
        <v>2.704681396</v>
      </c>
      <c r="C22">
        <v>0.295749664</v>
      </c>
      <c r="D22">
        <f t="shared" si="0"/>
        <v>29.5749664</v>
      </c>
      <c r="E22">
        <f t="shared" si="1"/>
        <v>0.171973737529891</v>
      </c>
      <c r="F22">
        <v>10</v>
      </c>
    </row>
    <row r="23" spans="1:6">
      <c r="A23">
        <v>3.000104904</v>
      </c>
      <c r="B23">
        <v>2.705001831</v>
      </c>
      <c r="C23">
        <v>0.295749664</v>
      </c>
      <c r="D23">
        <f t="shared" si="0"/>
        <v>29.5749664</v>
      </c>
      <c r="E23">
        <f t="shared" si="1"/>
        <v>0.171973737529891</v>
      </c>
      <c r="F23">
        <v>10</v>
      </c>
    </row>
    <row r="24" spans="1:6">
      <c r="A24">
        <v>3.09954071</v>
      </c>
      <c r="B24">
        <v>2.74638176</v>
      </c>
      <c r="C24">
        <v>0.353487015</v>
      </c>
      <c r="D24">
        <f t="shared" si="0"/>
        <v>35.3487015</v>
      </c>
      <c r="E24">
        <f t="shared" si="1"/>
        <v>0.188012503573566</v>
      </c>
      <c r="F24">
        <v>10</v>
      </c>
    </row>
    <row r="25" spans="1:6">
      <c r="A25">
        <v>3.099863052</v>
      </c>
      <c r="B25">
        <v>2.747343063</v>
      </c>
      <c r="C25">
        <v>0.35316658</v>
      </c>
      <c r="D25">
        <f t="shared" si="0"/>
        <v>35.316658</v>
      </c>
      <c r="E25">
        <f t="shared" si="1"/>
        <v>0.187927267845834</v>
      </c>
      <c r="F25">
        <v>10</v>
      </c>
    </row>
    <row r="26" spans="1:6">
      <c r="A26">
        <v>3.197053909</v>
      </c>
      <c r="B26">
        <v>2.78519249</v>
      </c>
      <c r="C26">
        <v>0.411224365</v>
      </c>
      <c r="D26">
        <f t="shared" si="0"/>
        <v>41.1224365</v>
      </c>
      <c r="E26">
        <f t="shared" si="1"/>
        <v>0.202786677323733</v>
      </c>
      <c r="F26">
        <v>10</v>
      </c>
    </row>
    <row r="27" spans="1:6">
      <c r="A27">
        <v>3.195770264</v>
      </c>
      <c r="B27">
        <v>2.787118912</v>
      </c>
      <c r="C27">
        <v>0.411224365</v>
      </c>
      <c r="D27">
        <f t="shared" si="0"/>
        <v>41.1224365</v>
      </c>
      <c r="E27">
        <f t="shared" si="1"/>
        <v>0.202786677323733</v>
      </c>
      <c r="F27">
        <v>10</v>
      </c>
    </row>
    <row r="28" spans="1:6">
      <c r="A28">
        <v>3.291679382</v>
      </c>
      <c r="B28">
        <v>2.822723389</v>
      </c>
      <c r="C28">
        <v>0.473453522</v>
      </c>
      <c r="D28">
        <f t="shared" si="0"/>
        <v>47.3453522</v>
      </c>
      <c r="E28">
        <f t="shared" si="1"/>
        <v>0.217589871547368</v>
      </c>
      <c r="F28">
        <v>10</v>
      </c>
    </row>
    <row r="29" spans="1:6">
      <c r="A29">
        <v>3.293281555</v>
      </c>
      <c r="B29">
        <v>2.821119308</v>
      </c>
      <c r="C29">
        <v>0.473453522</v>
      </c>
      <c r="D29">
        <f t="shared" si="0"/>
        <v>47.3453522</v>
      </c>
      <c r="E29">
        <f t="shared" si="1"/>
        <v>0.217589871547368</v>
      </c>
      <c r="F29">
        <v>10</v>
      </c>
    </row>
    <row r="30" spans="1:6">
      <c r="A30">
        <v>3.395284653</v>
      </c>
      <c r="B30">
        <v>2.859931946</v>
      </c>
      <c r="C30">
        <v>0.537284851</v>
      </c>
      <c r="D30">
        <f t="shared" si="0"/>
        <v>53.7284851</v>
      </c>
      <c r="E30">
        <f t="shared" si="1"/>
        <v>0.231794057516581</v>
      </c>
      <c r="F30">
        <v>10</v>
      </c>
    </row>
    <row r="31" spans="1:6">
      <c r="A31">
        <v>3.395605087</v>
      </c>
      <c r="B31">
        <v>2.858968735</v>
      </c>
      <c r="C31">
        <v>0.537605286</v>
      </c>
      <c r="D31">
        <f t="shared" si="0"/>
        <v>53.7605286</v>
      </c>
      <c r="E31">
        <f t="shared" si="1"/>
        <v>0.231863167838275</v>
      </c>
      <c r="F31">
        <v>10</v>
      </c>
    </row>
    <row r="32" spans="1:6">
      <c r="A32">
        <v>3.496004105</v>
      </c>
      <c r="B32">
        <v>2.892648697</v>
      </c>
      <c r="C32">
        <v>0.604644775</v>
      </c>
      <c r="D32">
        <f t="shared" si="0"/>
        <v>60.4644775</v>
      </c>
      <c r="E32">
        <f t="shared" si="1"/>
        <v>0.245895257172643</v>
      </c>
      <c r="F32">
        <v>10</v>
      </c>
    </row>
    <row r="33" spans="1:6">
      <c r="A33">
        <v>3.496324539</v>
      </c>
      <c r="B33">
        <v>2.893611908</v>
      </c>
      <c r="C33">
        <v>0.604644775</v>
      </c>
      <c r="D33">
        <f t="shared" si="0"/>
        <v>60.4644775</v>
      </c>
      <c r="E33">
        <f t="shared" si="1"/>
        <v>0.245895257172643</v>
      </c>
      <c r="F33">
        <v>10</v>
      </c>
    </row>
    <row r="34" spans="1:6">
      <c r="A34">
        <v>3.595121384</v>
      </c>
      <c r="B34">
        <v>2.924724579</v>
      </c>
      <c r="C34">
        <v>0.671363831</v>
      </c>
      <c r="D34">
        <f t="shared" si="0"/>
        <v>67.1363831</v>
      </c>
      <c r="E34">
        <f t="shared" si="1"/>
        <v>0.259106895122457</v>
      </c>
      <c r="F34">
        <v>10</v>
      </c>
    </row>
    <row r="35" spans="1:6">
      <c r="A35">
        <v>3.593837738</v>
      </c>
      <c r="B35">
        <v>2.925046921</v>
      </c>
      <c r="C35">
        <v>0.671363831</v>
      </c>
      <c r="D35">
        <f t="shared" ref="D35:D65" si="2">C35/F35*1000</f>
        <v>67.1363831</v>
      </c>
      <c r="E35">
        <f t="shared" ref="E35:E65" si="3">(D35/1000)^0.5</f>
        <v>0.259106895122457</v>
      </c>
      <c r="F35">
        <v>10</v>
      </c>
    </row>
    <row r="36" spans="1:6">
      <c r="A36">
        <v>3.692312241</v>
      </c>
      <c r="B36">
        <v>2.958726883</v>
      </c>
      <c r="C36">
        <v>0.737119675</v>
      </c>
      <c r="D36">
        <f t="shared" si="2"/>
        <v>73.7119675</v>
      </c>
      <c r="E36">
        <f t="shared" si="3"/>
        <v>0.271499479741675</v>
      </c>
      <c r="F36">
        <v>10</v>
      </c>
    </row>
    <row r="37" spans="1:6">
      <c r="A37">
        <v>3.693916321</v>
      </c>
      <c r="B37">
        <v>2.958084106</v>
      </c>
      <c r="C37">
        <v>0.737119675</v>
      </c>
      <c r="D37">
        <f t="shared" si="2"/>
        <v>73.7119675</v>
      </c>
      <c r="E37">
        <f t="shared" si="3"/>
        <v>0.271499479741675</v>
      </c>
      <c r="F37">
        <v>10</v>
      </c>
    </row>
    <row r="38" spans="1:6">
      <c r="A38">
        <v>3.793992996</v>
      </c>
      <c r="B38">
        <v>2.989198685</v>
      </c>
      <c r="C38">
        <v>0.804801941</v>
      </c>
      <c r="D38">
        <f t="shared" si="2"/>
        <v>80.4801941</v>
      </c>
      <c r="E38">
        <f t="shared" si="3"/>
        <v>0.283690313722552</v>
      </c>
      <c r="F38">
        <v>10</v>
      </c>
    </row>
    <row r="39" spans="1:6">
      <c r="A39">
        <v>3.794635773</v>
      </c>
      <c r="B39">
        <v>2.988237381</v>
      </c>
      <c r="C39">
        <v>0.804481506</v>
      </c>
      <c r="D39">
        <f t="shared" si="2"/>
        <v>80.4481506</v>
      </c>
      <c r="E39">
        <f t="shared" si="3"/>
        <v>0.283633831903037</v>
      </c>
      <c r="F39">
        <v>10</v>
      </c>
    </row>
    <row r="40" spans="1:6">
      <c r="A40">
        <v>3.894392014</v>
      </c>
      <c r="B40">
        <v>3.019029617</v>
      </c>
      <c r="C40">
        <v>0.874406815</v>
      </c>
      <c r="D40">
        <f t="shared" si="2"/>
        <v>87.4406815</v>
      </c>
      <c r="E40">
        <f t="shared" si="3"/>
        <v>0.295703705590579</v>
      </c>
      <c r="F40">
        <v>10</v>
      </c>
    </row>
    <row r="41" spans="1:6">
      <c r="A41">
        <v>3.895355225</v>
      </c>
      <c r="B41">
        <v>3.019029617</v>
      </c>
      <c r="C41">
        <v>0.875047684</v>
      </c>
      <c r="D41">
        <f t="shared" si="2"/>
        <v>87.5047684</v>
      </c>
      <c r="E41">
        <f t="shared" si="3"/>
        <v>0.29581204911227</v>
      </c>
      <c r="F41">
        <v>10</v>
      </c>
    </row>
    <row r="42" spans="1:6">
      <c r="A42">
        <v>3.989337921</v>
      </c>
      <c r="B42">
        <v>3.048219681</v>
      </c>
      <c r="C42">
        <v>0.942409515</v>
      </c>
      <c r="D42">
        <f t="shared" si="2"/>
        <v>94.2409515</v>
      </c>
      <c r="E42">
        <f t="shared" si="3"/>
        <v>0.306986891413949</v>
      </c>
      <c r="F42">
        <v>10</v>
      </c>
    </row>
    <row r="43" spans="1:6">
      <c r="A43">
        <v>3.992225647</v>
      </c>
      <c r="B43">
        <v>3.04886055</v>
      </c>
      <c r="C43">
        <v>0.942087173</v>
      </c>
      <c r="D43">
        <f t="shared" si="2"/>
        <v>94.2087173</v>
      </c>
      <c r="E43">
        <f t="shared" si="3"/>
        <v>0.306934385985018</v>
      </c>
      <c r="F43">
        <v>10</v>
      </c>
    </row>
    <row r="44" spans="1:6">
      <c r="A44">
        <v>4.188211441</v>
      </c>
      <c r="B44">
        <v>3.109165192</v>
      </c>
      <c r="C44">
        <v>1.080337524</v>
      </c>
      <c r="D44">
        <f t="shared" si="2"/>
        <v>108.0337524</v>
      </c>
      <c r="E44">
        <f t="shared" si="3"/>
        <v>0.328684883132766</v>
      </c>
      <c r="F44">
        <v>10</v>
      </c>
    </row>
    <row r="45" spans="1:6">
      <c r="A45">
        <v>4.189495087</v>
      </c>
      <c r="B45">
        <v>3.10884285</v>
      </c>
      <c r="C45">
        <v>1.080337524</v>
      </c>
      <c r="D45">
        <f t="shared" si="2"/>
        <v>108.0337524</v>
      </c>
      <c r="E45">
        <f t="shared" si="3"/>
        <v>0.328684883132766</v>
      </c>
      <c r="F45">
        <v>10</v>
      </c>
    </row>
    <row r="46" spans="1:6">
      <c r="A46">
        <v>4.391254425</v>
      </c>
      <c r="B46">
        <v>3.167543411</v>
      </c>
      <c r="C46">
        <v>1.223075867</v>
      </c>
      <c r="D46">
        <f t="shared" si="2"/>
        <v>122.3075867</v>
      </c>
      <c r="E46">
        <f t="shared" si="3"/>
        <v>0.349725015833869</v>
      </c>
      <c r="F46">
        <v>10</v>
      </c>
    </row>
    <row r="47" spans="1:6">
      <c r="A47">
        <v>4.387084961</v>
      </c>
      <c r="B47">
        <v>3.167863846</v>
      </c>
      <c r="C47">
        <v>1.223075867</v>
      </c>
      <c r="D47">
        <f t="shared" si="2"/>
        <v>122.3075867</v>
      </c>
      <c r="E47">
        <f t="shared" si="3"/>
        <v>0.349725015833869</v>
      </c>
      <c r="F47">
        <v>10</v>
      </c>
    </row>
    <row r="48" spans="1:6">
      <c r="A48">
        <v>4.58820343</v>
      </c>
      <c r="B48">
        <v>3.223035812</v>
      </c>
      <c r="C48">
        <v>1.367099762</v>
      </c>
      <c r="D48">
        <f t="shared" si="2"/>
        <v>136.7099762</v>
      </c>
      <c r="E48">
        <f t="shared" si="3"/>
        <v>0.369743121910334</v>
      </c>
      <c r="F48">
        <v>10</v>
      </c>
    </row>
    <row r="49" spans="1:6">
      <c r="A49">
        <v>4.590768814</v>
      </c>
      <c r="B49">
        <v>3.222393036</v>
      </c>
      <c r="C49">
        <v>1.366779327</v>
      </c>
      <c r="D49">
        <f t="shared" si="2"/>
        <v>136.6779327</v>
      </c>
      <c r="E49">
        <f t="shared" si="3"/>
        <v>0.369699787259879</v>
      </c>
      <c r="F49">
        <v>10</v>
      </c>
    </row>
    <row r="50" spans="1:6">
      <c r="A50">
        <v>4.788360596</v>
      </c>
      <c r="B50">
        <v>3.278526306</v>
      </c>
      <c r="C50">
        <v>1.509197235</v>
      </c>
      <c r="D50">
        <f t="shared" si="2"/>
        <v>150.9197235</v>
      </c>
      <c r="E50">
        <f t="shared" si="3"/>
        <v>0.388483878043864</v>
      </c>
      <c r="F50">
        <v>10</v>
      </c>
    </row>
    <row r="51" spans="1:6">
      <c r="A51">
        <v>4.787397385</v>
      </c>
      <c r="B51">
        <v>3.279169083</v>
      </c>
      <c r="C51">
        <v>1.50951767</v>
      </c>
      <c r="D51">
        <f t="shared" si="2"/>
        <v>150.951767</v>
      </c>
      <c r="E51">
        <f t="shared" si="3"/>
        <v>0.388525117592158</v>
      </c>
      <c r="F51">
        <v>10</v>
      </c>
    </row>
    <row r="52" spans="1:6">
      <c r="A52">
        <v>4.98755455</v>
      </c>
      <c r="B52">
        <v>3.335622787</v>
      </c>
      <c r="C52">
        <v>1.65161705</v>
      </c>
      <c r="D52">
        <f t="shared" si="2"/>
        <v>165.161705</v>
      </c>
      <c r="E52">
        <f t="shared" si="3"/>
        <v>0.406400916583612</v>
      </c>
      <c r="F52">
        <v>10</v>
      </c>
    </row>
    <row r="53" spans="1:6">
      <c r="A53">
        <v>4.98755455</v>
      </c>
      <c r="B53">
        <v>3.335943222</v>
      </c>
      <c r="C53">
        <v>1.651937485</v>
      </c>
      <c r="D53">
        <f t="shared" si="2"/>
        <v>165.1937485</v>
      </c>
      <c r="E53">
        <f t="shared" si="3"/>
        <v>0.406440338180157</v>
      </c>
      <c r="F53">
        <v>10</v>
      </c>
    </row>
    <row r="54" spans="1:6">
      <c r="A54">
        <v>5.484415054</v>
      </c>
      <c r="B54">
        <v>3.477079391</v>
      </c>
      <c r="C54">
        <v>2.006700516</v>
      </c>
      <c r="D54">
        <f t="shared" si="2"/>
        <v>200.6700516</v>
      </c>
      <c r="E54">
        <f t="shared" si="3"/>
        <v>0.447962109558387</v>
      </c>
      <c r="F54">
        <v>10</v>
      </c>
    </row>
    <row r="55" spans="1:6">
      <c r="A55">
        <v>5.48409462</v>
      </c>
      <c r="B55">
        <v>3.476118088</v>
      </c>
      <c r="C55">
        <v>2.006700516</v>
      </c>
      <c r="D55">
        <f t="shared" si="2"/>
        <v>200.6700516</v>
      </c>
      <c r="E55">
        <f t="shared" si="3"/>
        <v>0.447962109558387</v>
      </c>
      <c r="F55">
        <v>10</v>
      </c>
    </row>
    <row r="56" spans="1:6">
      <c r="A56">
        <v>5.982561111</v>
      </c>
      <c r="B56">
        <v>3.621103287</v>
      </c>
      <c r="C56">
        <v>2.362426758</v>
      </c>
      <c r="D56">
        <f t="shared" si="2"/>
        <v>236.2426758</v>
      </c>
      <c r="E56">
        <f t="shared" si="3"/>
        <v>0.486048017998222</v>
      </c>
      <c r="F56">
        <v>10</v>
      </c>
    </row>
    <row r="57" spans="1:6">
      <c r="A57">
        <v>5.9815979</v>
      </c>
      <c r="B57">
        <v>3.620780945</v>
      </c>
      <c r="C57">
        <v>2.362426758</v>
      </c>
      <c r="D57">
        <f t="shared" si="2"/>
        <v>236.2426758</v>
      </c>
      <c r="E57">
        <f t="shared" si="3"/>
        <v>0.486048017998222</v>
      </c>
      <c r="F57">
        <v>10</v>
      </c>
    </row>
    <row r="58" spans="1:6">
      <c r="A58">
        <v>6.477499008</v>
      </c>
      <c r="B58">
        <v>3.767049789</v>
      </c>
      <c r="C58">
        <v>2.710454941</v>
      </c>
      <c r="D58">
        <f t="shared" si="2"/>
        <v>271.0454941</v>
      </c>
      <c r="E58">
        <f t="shared" si="3"/>
        <v>0.520620297433744</v>
      </c>
      <c r="F58">
        <v>10</v>
      </c>
    </row>
    <row r="59" spans="1:6">
      <c r="A59">
        <v>6.475574493</v>
      </c>
      <c r="B59">
        <v>3.768333435</v>
      </c>
      <c r="C59">
        <v>2.710134506</v>
      </c>
      <c r="D59">
        <f t="shared" si="2"/>
        <v>271.0134506</v>
      </c>
      <c r="E59">
        <f t="shared" si="3"/>
        <v>0.520589522176542</v>
      </c>
      <c r="F59">
        <v>10</v>
      </c>
    </row>
    <row r="60" spans="1:6">
      <c r="A60">
        <v>6.975643158</v>
      </c>
      <c r="B60">
        <v>3.922618866</v>
      </c>
      <c r="C60">
        <v>3.053672791</v>
      </c>
      <c r="D60">
        <f t="shared" si="2"/>
        <v>305.3672791</v>
      </c>
      <c r="E60">
        <f t="shared" si="3"/>
        <v>0.552600469688544</v>
      </c>
      <c r="F60">
        <v>10</v>
      </c>
    </row>
    <row r="61" spans="1:6">
      <c r="A61">
        <v>6.976285934</v>
      </c>
      <c r="B61">
        <v>3.923261642</v>
      </c>
      <c r="C61">
        <v>3.053352356</v>
      </c>
      <c r="D61">
        <f t="shared" si="2"/>
        <v>305.3352356</v>
      </c>
      <c r="E61">
        <f t="shared" si="3"/>
        <v>0.552571475557687</v>
      </c>
      <c r="F61">
        <v>10</v>
      </c>
    </row>
    <row r="62" spans="1:6">
      <c r="A62">
        <v>7.474752426</v>
      </c>
      <c r="B62">
        <v>4.083963394</v>
      </c>
      <c r="C62">
        <v>3.389511108</v>
      </c>
      <c r="D62">
        <f t="shared" si="2"/>
        <v>338.9511108</v>
      </c>
      <c r="E62">
        <f t="shared" si="3"/>
        <v>0.582195079676907</v>
      </c>
      <c r="F62">
        <v>10</v>
      </c>
    </row>
    <row r="63" spans="1:6">
      <c r="A63">
        <v>7.472827911</v>
      </c>
      <c r="B63">
        <v>4.083322525</v>
      </c>
      <c r="C63">
        <v>3.390474319</v>
      </c>
      <c r="D63">
        <f t="shared" si="2"/>
        <v>339.0474319</v>
      </c>
      <c r="E63">
        <f t="shared" si="3"/>
        <v>0.582277796159187</v>
      </c>
      <c r="F63">
        <v>10</v>
      </c>
    </row>
    <row r="64" spans="1:6">
      <c r="A64">
        <v>7.972896576</v>
      </c>
      <c r="B64">
        <v>4.253967285</v>
      </c>
      <c r="C64">
        <v>3.718294144</v>
      </c>
      <c r="D64">
        <f t="shared" si="2"/>
        <v>371.8294144</v>
      </c>
      <c r="E64">
        <f t="shared" si="3"/>
        <v>0.609778168189056</v>
      </c>
      <c r="F64">
        <v>10</v>
      </c>
    </row>
    <row r="65" spans="1:6">
      <c r="A65">
        <v>7.969047546</v>
      </c>
      <c r="B65">
        <v>4.254930496</v>
      </c>
      <c r="C65">
        <v>3.718294144</v>
      </c>
      <c r="D65">
        <f t="shared" si="2"/>
        <v>371.8294144</v>
      </c>
      <c r="E65">
        <f t="shared" si="3"/>
        <v>0.609778168189056</v>
      </c>
      <c r="F65">
        <v>10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I-VGS=VDS R10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huang</cp:lastModifiedBy>
  <dcterms:created xsi:type="dcterms:W3CDTF">2025-12-26T13:14:38Z</dcterms:created>
  <dcterms:modified xsi:type="dcterms:W3CDTF">2025-12-27T09:16:52Z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B3804D8E3DEA40058FFD7489320AD3AE_13</vt:lpwstr>
  </property>
  <property fmtid="{D5CDD505-2E9C-101B-9397-08002B2CF9AE}" pid="3" name="KSOProductBuildVer">
    <vt:lpwstr>2052-12.1.0.24031</vt:lpwstr>
  </property>
  <property fmtid="{D5CDD505-2E9C-101B-9397-08002B2CF9AE}" pid="4" name="CalculationRule">
    <vt:i4>0</vt:i4>
  </property>
</Properties>
</file>