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05" windowHeight="8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<sst xmlns="http://schemas.openxmlformats.org/spreadsheetml/2006/main" count="88" uniqueCount="67">
  <si>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参数</t>
  </si>
  <si>
    <t>符号</t>
  </si>
  <si>
    <t>数值</t>
  </si>
  <si>
    <t>单位</t>
  </si>
  <si>
    <t>励磁线圈匝数</t>
  </si>
  <si>
    <t>N₁</t>
  </si>
  <si>
    <t>匝</t>
  </si>
  <si>
    <t>次级线圈匝数</t>
  </si>
  <si>
    <t>N₂</t>
  </si>
  <si>
    <t>样品平均周长</t>
  </si>
  <si>
    <t>L</t>
  </si>
  <si>
    <t>m</t>
  </si>
  <si>
    <t>样品截面积</t>
  </si>
  <si>
    <t>S</t>
  </si>
  <si>
    <t>5.25×10⁻⁵</t>
  </si>
  <si>
    <t>m²</t>
  </si>
  <si>
    <t>采样电阻</t>
  </si>
  <si>
    <t>R₁</t>
  </si>
  <si>
    <t>Ω</t>
  </si>
  <si>
    <t>积分电阻</t>
  </si>
  <si>
    <t>R₂</t>
  </si>
  <si>
    <t>积分电容</t>
  </si>
  <si>
    <t>C</t>
  </si>
  <si>
    <t>μF</t>
  </si>
  <si>
    <r>
      <rPr>
        <b/>
        <sz val="15"/>
        <color rgb="FF0F1115"/>
        <rFont val="宋体"/>
        <charset val="134"/>
      </rPr>
      <t>表</t>
    </r>
    <r>
      <rPr>
        <b/>
        <sz val="15"/>
        <color rgb="FF0F1115"/>
        <rFont val="Segoe UI"/>
        <charset val="134"/>
      </rPr>
      <t>2</t>
    </r>
    <r>
      <rPr>
        <b/>
        <sz val="15"/>
        <color rgb="FF0F1115"/>
        <rFont val="宋体"/>
        <charset val="134"/>
      </rPr>
      <t>：基本磁化曲线测量（逐点记录正顶点）</t>
    </r>
  </si>
  <si>
    <r>
      <rPr>
        <b/>
        <sz val="15"/>
        <color rgb="FF0F1115"/>
        <rFont val="宋体"/>
        <charset val="134"/>
      </rPr>
      <t>更新后的表</t>
    </r>
    <r>
      <rPr>
        <b/>
        <sz val="15"/>
        <color rgb="FF0F1115"/>
        <rFont val="Segoe UI"/>
        <charset val="134"/>
      </rPr>
      <t>3</t>
    </r>
    <r>
      <rPr>
        <b/>
        <sz val="15"/>
        <color rgb="FF0F1115"/>
        <rFont val="宋体"/>
        <charset val="134"/>
      </rPr>
      <t>：饱和磁滞回线测量（</t>
    </r>
    <r>
      <rPr>
        <b/>
        <sz val="15"/>
        <color rgb="FF0F1115"/>
        <rFont val="Segoe UI"/>
        <charset val="134"/>
      </rPr>
      <t>Vpp = 20V</t>
    </r>
    <r>
      <rPr>
        <b/>
        <sz val="15"/>
        <color rgb="FF0F1115"/>
        <rFont val="宋体"/>
        <charset val="134"/>
      </rPr>
      <t>）</t>
    </r>
  </si>
  <si>
    <t>序号</t>
  </si>
  <si>
    <t>Vpp (V)</t>
  </si>
  <si>
    <t>UR₁ (mV)</t>
  </si>
  <si>
    <t>UC (mV)</t>
  </si>
  <si>
    <t>H (A/m)</t>
  </si>
  <si>
    <t>B (T)</t>
  </si>
  <si>
    <t>μ (H/m)</t>
  </si>
  <si>
    <t>描述</t>
  </si>
  <si>
    <t>对应点</t>
  </si>
  <si>
    <t>备注</t>
  </si>
  <si>
    <t>正饱和点</t>
  </si>
  <si>
    <t>+Hs / +Bs</t>
  </si>
  <si>
    <t>Hs 和 Bs 在此点同时测得</t>
  </si>
  <si>
    <t>剩磁点</t>
  </si>
  <si>
    <t>H=0 / +Br</t>
  </si>
  <si>
    <t>H=0时，B=Br</t>
  </si>
  <si>
    <t>矫顽力点</t>
  </si>
  <si>
    <t>-Hc / B=0</t>
  </si>
  <si>
    <t>B=0时，H=-Hc</t>
  </si>
  <si>
    <t>负饱和点</t>
  </si>
  <si>
    <t>-Hs / -Bs</t>
  </si>
  <si>
    <t>-Hs 和 -Bs 在此点同时测得</t>
  </si>
  <si>
    <t>H=0 / -Br</t>
  </si>
  <si>
    <t>H=0时，B=-Br</t>
  </si>
  <si>
    <t>+Hc / B=0</t>
  </si>
  <si>
    <t>B=0时，H=+Hc</t>
  </si>
  <si>
    <t>回线第三象限点</t>
  </si>
  <si>
    <t>用于描绘曲线形状</t>
  </si>
  <si>
    <t>回线第一象限点</t>
  </si>
  <si>
    <t>回线第四象限点</t>
  </si>
  <si>
    <t>回线第二象限点</t>
  </si>
  <si>
    <t>右切点</t>
  </si>
  <si>
    <t>保证曲线平滑</t>
  </si>
  <si>
    <t>左切点</t>
  </si>
  <si>
    <t>表4：选做实验记录（频率/参数变化）</t>
  </si>
  <si>
    <t>条件</t>
  </si>
  <si>
    <t>f (Hz)</t>
  </si>
  <si>
    <t>R₂ (kΩ)</t>
  </si>
  <si>
    <t>CH1波形</t>
  </si>
  <si>
    <t>CH2波形</t>
  </si>
  <si>
    <t>备注（畸变/变化）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</si>
</sst>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5"/>
      <color rgb="FF0F1115"/>
      <name val="Segoe UI"/>
      <charset val="134"/>
    </font>
    <font>
      <sz val="11.25"/>
      <color theme="1"/>
      <name val="Segoe UI"/>
      <charset val="134"/>
    </font>
    <font>
      <b/>
      <sz val="15"/>
      <color rgb="FF0F1115"/>
      <name val="宋体"/>
      <charset val="134"/>
    </font>
    <font>
      <sz val="11"/>
      <color theme="1"/>
      <name val="宋体"/>
      <charset val="134"/>
      <scheme val="minor"/>
    </font>
    <font>
      <sz val="11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9"/>
  <sheetViews>
    <sheetView tabSelected="1" zoomScale="115" zoomScaleNormal="115" workbookViewId="0">
      <selection activeCell="A29" sqref="A29"/>
    </sheetView>
  </sheetViews>
  <sheetFormatPr defaultColWidth="9" defaultRowHeight="13.5"/>
  <cols>
    <col min="1" max="1" width="13.6333333333333" customWidth="1"/>
    <col min="3" max="3" width="9.71666666666667" customWidth="1"/>
    <col min="17" max="18" width="13.75"/>
  </cols>
  <sheetData>
    <row r="1" ht="14" customHeight="1" spans="1:19">
      <c r="A1" s="1"/>
    </row>
    <row r="2" spans="1:19">
      <c r="A2" s="2" t="s">
        <v>0</v>
      </c>
      <c r="B2" s="2" t="s">
        <v>1</v>
      </c>
      <c r="C2" s="2" t="s">
        <v>2</v>
      </c>
      <c r="D2" s="2" t="s">
        <v>3</v>
      </c>
    </row>
    <row r="3" ht="16.5" spans="1:19">
      <c r="A3" s="3" t="s">
        <v>4</v>
      </c>
      <c r="B3" s="3" t="s">
        <v>5</v>
      </c>
      <c r="C3" s="3">
        <v>120</v>
      </c>
      <c r="D3" s="3" t="s">
        <v>6</v>
      </c>
    </row>
    <row r="4" ht="16.5" spans="1:19">
      <c r="A4" s="3" t="s">
        <v>7</v>
      </c>
      <c r="B4" s="3" t="s">
        <v>8</v>
      </c>
      <c r="C4" s="3">
        <v>120</v>
      </c>
      <c r="D4" s="3" t="s">
        <v>6</v>
      </c>
    </row>
    <row r="5" ht="16.5" spans="1:19">
      <c r="A5" s="3" t="s">
        <v>9</v>
      </c>
      <c r="B5" s="3" t="s">
        <v>10</v>
      </c>
      <c r="C5" s="3">
        <v>0.0636</v>
      </c>
      <c r="D5" s="3" t="s">
        <v>11</v>
      </c>
    </row>
    <row r="6" ht="16.5" spans="1:19">
      <c r="A6" s="3" t="s">
        <v>12</v>
      </c>
      <c r="B6" s="3" t="s">
        <v>13</v>
      </c>
      <c r="C6" s="3" t="s">
        <v>14</v>
      </c>
      <c r="D6" s="3" t="s">
        <v>15</v>
      </c>
    </row>
    <row r="7" ht="16.5" spans="1:19">
      <c r="A7" s="3" t="s">
        <v>16</v>
      </c>
      <c r="B7" s="3" t="s">
        <v>17</v>
      </c>
      <c r="C7" s="3">
        <v>100</v>
      </c>
      <c r="D7" s="3" t="s">
        <v>18</v>
      </c>
    </row>
    <row r="8" ht="16.5" spans="1:19">
      <c r="A8" s="3" t="s">
        <v>19</v>
      </c>
      <c r="B8" s="3" t="s">
        <v>20</v>
      </c>
      <c r="C8">
        <v>298.9</v>
      </c>
      <c r="D8" s="3" t="s">
        <v>18</v>
      </c>
    </row>
    <row r="9" ht="16.5" spans="1:19">
      <c r="A9" s="3" t="s">
        <v>21</v>
      </c>
      <c r="B9" s="3" t="s">
        <v>22</v>
      </c>
      <c r="C9" s="3">
        <v>4.7</v>
      </c>
      <c r="D9" s="3" t="s">
        <v>23</v>
      </c>
    </row>
    <row r="15" ht="40" customHeight="1" spans="1:19">
      <c r="A15" s="4" t="s">
        <v>24</v>
      </c>
      <c r="B15" s="4"/>
      <c r="C15" s="4"/>
      <c r="D15" s="4"/>
      <c r="E15" s="4"/>
      <c r="F15" s="4"/>
      <c r="G15" s="4"/>
      <c r="K15" s="4" t="s">
        <v>25</v>
      </c>
      <c r="L15" s="4"/>
      <c r="M15" s="4"/>
      <c r="N15" s="4"/>
      <c r="O15" s="4"/>
      <c r="P15" s="4"/>
      <c r="Q15" s="4"/>
      <c r="R15" s="4"/>
      <c r="S15" s="4"/>
    </row>
    <row r="16" ht="16.5" spans="1:19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K16" s="2" t="s">
        <v>26</v>
      </c>
      <c r="L16" s="2" t="s">
        <v>33</v>
      </c>
      <c r="M16" s="2" t="s">
        <v>34</v>
      </c>
      <c r="N16" s="5" t="s">
        <v>27</v>
      </c>
      <c r="O16" s="5" t="s">
        <v>28</v>
      </c>
      <c r="P16" s="5" t="s">
        <v>29</v>
      </c>
      <c r="Q16" s="5" t="s">
        <v>30</v>
      </c>
      <c r="R16" s="5" t="s">
        <v>31</v>
      </c>
      <c r="S16" s="2" t="s">
        <v>35</v>
      </c>
    </row>
    <row r="17" ht="43.5" spans="1:24">
      <c r="A17" s="5">
        <v>1</v>
      </c>
      <c r="B17" s="6">
        <v>1</v>
      </c>
      <c r="C17" s="6">
        <v>118</v>
      </c>
      <c r="D17" s="6">
        <v>82</v>
      </c>
      <c r="E17" s="5">
        <f t="shared" ref="E17:E36" si="0">B17*10^-3*120/(100*0.0636)</f>
        <v>0.0188679245283019</v>
      </c>
      <c r="F17" s="5">
        <f t="shared" ref="F17:F36" si="1">C17*10^-3*298.9*0.0000047/(120*0.0000525)</f>
        <v>0.0263126888888889</v>
      </c>
      <c r="G17" s="5">
        <f t="shared" ref="G17:G36" si="2">F17/E17</f>
        <v>1.39457251111111</v>
      </c>
      <c r="K17" s="3">
        <v>1</v>
      </c>
      <c r="L17" s="3" t="s">
        <v>36</v>
      </c>
      <c r="M17" s="3" t="s">
        <v>37</v>
      </c>
      <c r="N17" s="7">
        <v>20</v>
      </c>
      <c r="O17" s="7">
        <v>1880</v>
      </c>
      <c r="P17" s="7">
        <v>1480</v>
      </c>
      <c r="Q17" s="5">
        <f t="shared" ref="Q17:Q28" si="3">V17*10^-3*120/(100*0.0636)</f>
        <v>35.4716981132076</v>
      </c>
      <c r="R17" s="5">
        <f t="shared" ref="R17:R28" si="4">W17*10^-3*298.9*0.0000047/(120*0.0000525)</f>
        <v>0.330023555555555</v>
      </c>
      <c r="S17" s="3" t="s">
        <v>38</v>
      </c>
      <c r="V17" s="7">
        <v>1880</v>
      </c>
      <c r="W17" s="7">
        <v>1480</v>
      </c>
      <c r="X17" s="7"/>
    </row>
    <row r="18" ht="33" spans="1:24">
      <c r="A18" s="5">
        <v>2</v>
      </c>
      <c r="B18" s="6">
        <v>2</v>
      </c>
      <c r="C18" s="6">
        <v>240</v>
      </c>
      <c r="D18" s="6">
        <v>164</v>
      </c>
      <c r="E18" s="5">
        <f t="shared" si="0"/>
        <v>0.0377358490566038</v>
      </c>
      <c r="F18" s="5">
        <f t="shared" si="1"/>
        <v>0.0535173333333333</v>
      </c>
      <c r="G18" s="5">
        <f t="shared" si="2"/>
        <v>1.41820933333333</v>
      </c>
      <c r="K18" s="3">
        <v>2</v>
      </c>
      <c r="L18" s="3" t="s">
        <v>39</v>
      </c>
      <c r="M18" s="3" t="s">
        <v>40</v>
      </c>
      <c r="N18" s="7">
        <v>20</v>
      </c>
      <c r="O18" s="7">
        <v>0</v>
      </c>
      <c r="P18" s="6">
        <v>1220</v>
      </c>
      <c r="Q18" s="5">
        <f t="shared" si="3"/>
        <v>0</v>
      </c>
      <c r="R18" s="5">
        <f t="shared" si="4"/>
        <v>0.272046444444444</v>
      </c>
      <c r="S18" s="3" t="s">
        <v>41</v>
      </c>
      <c r="V18" s="7">
        <v>0</v>
      </c>
      <c r="W18" s="6">
        <v>1220</v>
      </c>
      <c r="X18" s="6"/>
    </row>
    <row r="19" ht="33" spans="1:24">
      <c r="A19" s="5">
        <v>3</v>
      </c>
      <c r="B19" s="6">
        <v>3</v>
      </c>
      <c r="C19" s="6">
        <v>360</v>
      </c>
      <c r="D19" s="6">
        <v>248</v>
      </c>
      <c r="E19" s="5">
        <f t="shared" si="0"/>
        <v>0.0566037735849057</v>
      </c>
      <c r="F19" s="5">
        <f t="shared" si="1"/>
        <v>0.080276</v>
      </c>
      <c r="G19" s="5">
        <f t="shared" si="2"/>
        <v>1.41820933333333</v>
      </c>
      <c r="K19" s="3">
        <v>3</v>
      </c>
      <c r="L19" s="3" t="s">
        <v>42</v>
      </c>
      <c r="M19" s="3" t="s">
        <v>43</v>
      </c>
      <c r="N19" s="7">
        <v>20</v>
      </c>
      <c r="O19" s="6">
        <v>-2160</v>
      </c>
      <c r="P19" s="7">
        <v>0</v>
      </c>
      <c r="Q19" s="5">
        <f t="shared" si="3"/>
        <v>-40.7547169811321</v>
      </c>
      <c r="R19" s="5">
        <f t="shared" si="4"/>
        <v>0</v>
      </c>
      <c r="S19" s="3" t="s">
        <v>44</v>
      </c>
      <c r="V19" s="6">
        <v>-2160</v>
      </c>
      <c r="W19" s="7">
        <v>0</v>
      </c>
      <c r="X19" s="7"/>
    </row>
    <row r="20" ht="43.5" spans="1:24">
      <c r="A20" s="5">
        <v>4</v>
      </c>
      <c r="B20" s="6">
        <v>4</v>
      </c>
      <c r="C20" s="6">
        <v>472</v>
      </c>
      <c r="D20" s="6">
        <v>316</v>
      </c>
      <c r="E20" s="5">
        <f t="shared" si="0"/>
        <v>0.0754716981132075</v>
      </c>
      <c r="F20" s="5">
        <f t="shared" si="1"/>
        <v>0.105250755555556</v>
      </c>
      <c r="G20" s="5">
        <f t="shared" si="2"/>
        <v>1.39457251111111</v>
      </c>
      <c r="K20" s="3">
        <v>4</v>
      </c>
      <c r="L20" s="3" t="s">
        <v>45</v>
      </c>
      <c r="M20" s="3" t="s">
        <v>46</v>
      </c>
      <c r="N20" s="7">
        <v>20</v>
      </c>
      <c r="O20" s="7">
        <v>-1920</v>
      </c>
      <c r="P20" s="6">
        <v>-1480</v>
      </c>
      <c r="Q20" s="5">
        <f t="shared" si="3"/>
        <v>-36.2264150943396</v>
      </c>
      <c r="R20" s="5">
        <f t="shared" si="4"/>
        <v>-0.330023555555555</v>
      </c>
      <c r="S20" s="3" t="s">
        <v>47</v>
      </c>
      <c r="V20" s="7">
        <v>-1920</v>
      </c>
      <c r="W20" s="6">
        <v>-1480</v>
      </c>
      <c r="X20" s="6"/>
    </row>
    <row r="21" ht="33" spans="1:24">
      <c r="A21" s="5">
        <v>5</v>
      </c>
      <c r="B21" s="6">
        <v>5</v>
      </c>
      <c r="C21" s="6">
        <v>588</v>
      </c>
      <c r="D21" s="6">
        <v>392</v>
      </c>
      <c r="E21" s="5">
        <f t="shared" si="0"/>
        <v>0.0943396226415094</v>
      </c>
      <c r="F21" s="5">
        <f t="shared" si="1"/>
        <v>0.131117466666667</v>
      </c>
      <c r="G21" s="5">
        <f t="shared" si="2"/>
        <v>1.38984514666667</v>
      </c>
      <c r="K21" s="3">
        <v>5</v>
      </c>
      <c r="L21" s="3" t="s">
        <v>39</v>
      </c>
      <c r="M21" s="3" t="s">
        <v>48</v>
      </c>
      <c r="N21" s="7">
        <v>20</v>
      </c>
      <c r="O21" s="6">
        <v>0</v>
      </c>
      <c r="P21" s="6">
        <v>-1180</v>
      </c>
      <c r="Q21" s="5">
        <f t="shared" si="3"/>
        <v>0</v>
      </c>
      <c r="R21" s="5">
        <f t="shared" si="4"/>
        <v>-0.263126888888889</v>
      </c>
      <c r="S21" s="3" t="s">
        <v>49</v>
      </c>
      <c r="V21" s="6">
        <v>0</v>
      </c>
      <c r="W21" s="6">
        <v>-1180</v>
      </c>
      <c r="X21" s="6"/>
    </row>
    <row r="22" ht="33" spans="1:24">
      <c r="A22" s="5">
        <v>6</v>
      </c>
      <c r="B22" s="6">
        <v>6</v>
      </c>
      <c r="C22" s="6">
        <v>712</v>
      </c>
      <c r="D22" s="6">
        <v>480</v>
      </c>
      <c r="E22" s="5">
        <f t="shared" si="0"/>
        <v>0.113207547169811</v>
      </c>
      <c r="F22" s="5">
        <f t="shared" si="1"/>
        <v>0.158768088888889</v>
      </c>
      <c r="G22" s="5">
        <f t="shared" si="2"/>
        <v>1.40245145185185</v>
      </c>
      <c r="K22" s="3">
        <v>6</v>
      </c>
      <c r="L22" s="3" t="s">
        <v>42</v>
      </c>
      <c r="M22" s="3" t="s">
        <v>50</v>
      </c>
      <c r="N22" s="7">
        <v>20</v>
      </c>
      <c r="O22" s="6">
        <v>2120</v>
      </c>
      <c r="P22" s="7">
        <v>0</v>
      </c>
      <c r="Q22" s="5">
        <f t="shared" si="3"/>
        <v>40</v>
      </c>
      <c r="R22" s="5">
        <f t="shared" si="4"/>
        <v>0</v>
      </c>
      <c r="S22" s="3" t="s">
        <v>51</v>
      </c>
      <c r="V22" s="6">
        <v>2120</v>
      </c>
      <c r="W22" s="7">
        <v>0</v>
      </c>
      <c r="X22" s="7"/>
    </row>
    <row r="23" ht="27" spans="1:24">
      <c r="A23" s="5">
        <v>7</v>
      </c>
      <c r="B23" s="6">
        <v>7</v>
      </c>
      <c r="C23" s="6">
        <v>824</v>
      </c>
      <c r="D23" s="6">
        <v>552</v>
      </c>
      <c r="E23" s="5">
        <f t="shared" si="0"/>
        <v>0.132075471698113</v>
      </c>
      <c r="F23" s="5">
        <f t="shared" si="1"/>
        <v>0.183742844444444</v>
      </c>
      <c r="G23" s="5">
        <f t="shared" si="2"/>
        <v>1.39119582222222</v>
      </c>
      <c r="K23" s="3">
        <v>7</v>
      </c>
      <c r="L23" s="3" t="s">
        <v>52</v>
      </c>
      <c r="M23" s="3"/>
      <c r="N23" s="7">
        <v>20</v>
      </c>
      <c r="O23" s="6">
        <v>-1100</v>
      </c>
      <c r="P23" s="6">
        <v>-1100</v>
      </c>
      <c r="Q23" s="5">
        <f t="shared" si="3"/>
        <v>-20.7547169811321</v>
      </c>
      <c r="R23" s="5">
        <f t="shared" si="4"/>
        <v>-0.245287777777778</v>
      </c>
      <c r="S23" s="3" t="s">
        <v>53</v>
      </c>
      <c r="V23" s="6">
        <v>-1100</v>
      </c>
      <c r="W23" s="6">
        <v>-1100</v>
      </c>
      <c r="X23" s="6"/>
    </row>
    <row r="24" ht="27" spans="1:24">
      <c r="A24" s="5">
        <v>8</v>
      </c>
      <c r="B24" s="6">
        <v>8</v>
      </c>
      <c r="C24" s="6">
        <v>952</v>
      </c>
      <c r="D24" s="6">
        <v>632</v>
      </c>
      <c r="E24" s="5">
        <f t="shared" si="0"/>
        <v>0.150943396226415</v>
      </c>
      <c r="F24" s="5">
        <f t="shared" si="1"/>
        <v>0.212285422222222</v>
      </c>
      <c r="G24" s="5">
        <f t="shared" si="2"/>
        <v>1.40639092222222</v>
      </c>
      <c r="K24" s="3">
        <v>8</v>
      </c>
      <c r="L24" s="3" t="s">
        <v>54</v>
      </c>
      <c r="M24" s="3"/>
      <c r="N24" s="7">
        <v>20</v>
      </c>
      <c r="O24" s="6">
        <v>1340</v>
      </c>
      <c r="P24" s="6">
        <v>640</v>
      </c>
      <c r="Q24" s="5">
        <f t="shared" si="3"/>
        <v>25.2830188679245</v>
      </c>
      <c r="R24" s="5">
        <f t="shared" si="4"/>
        <v>0.142712888888889</v>
      </c>
      <c r="S24" s="3" t="s">
        <v>53</v>
      </c>
      <c r="V24" s="6">
        <v>1340</v>
      </c>
      <c r="W24" s="6">
        <v>640</v>
      </c>
      <c r="X24" s="6"/>
    </row>
    <row r="25" ht="27" spans="1:24">
      <c r="A25" s="5">
        <v>9</v>
      </c>
      <c r="B25" s="6">
        <v>9</v>
      </c>
      <c r="C25" s="6">
        <v>1064</v>
      </c>
      <c r="D25" s="6">
        <v>708</v>
      </c>
      <c r="E25" s="5">
        <f t="shared" si="0"/>
        <v>0.169811320754717</v>
      </c>
      <c r="F25" s="5">
        <f t="shared" si="1"/>
        <v>0.237260177777778</v>
      </c>
      <c r="G25" s="5">
        <f t="shared" si="2"/>
        <v>1.39719882469136</v>
      </c>
      <c r="K25" s="3">
        <v>9</v>
      </c>
      <c r="L25" s="3" t="s">
        <v>55</v>
      </c>
      <c r="M25" s="3"/>
      <c r="N25" s="7">
        <v>20</v>
      </c>
      <c r="O25" s="6">
        <v>1520</v>
      </c>
      <c r="P25" s="6">
        <v>-640</v>
      </c>
      <c r="Q25" s="5">
        <f t="shared" si="3"/>
        <v>28.6792452830189</v>
      </c>
      <c r="R25" s="5">
        <f t="shared" si="4"/>
        <v>-0.142712888888889</v>
      </c>
      <c r="S25" s="3" t="s">
        <v>53</v>
      </c>
      <c r="V25" s="6">
        <v>1520</v>
      </c>
      <c r="W25" s="6">
        <v>-640</v>
      </c>
      <c r="X25" s="6"/>
    </row>
    <row r="26" ht="27" spans="1:24">
      <c r="A26" s="5">
        <v>10</v>
      </c>
      <c r="B26" s="6">
        <v>10</v>
      </c>
      <c r="C26" s="6">
        <v>1167</v>
      </c>
      <c r="D26" s="6">
        <v>792</v>
      </c>
      <c r="E26" s="5">
        <f t="shared" si="0"/>
        <v>0.188679245283019</v>
      </c>
      <c r="F26" s="5">
        <f t="shared" si="1"/>
        <v>0.260228033333333</v>
      </c>
      <c r="G26" s="5">
        <f t="shared" si="2"/>
        <v>1.37920857666667</v>
      </c>
      <c r="K26" s="3">
        <v>10</v>
      </c>
      <c r="L26" s="3" t="s">
        <v>56</v>
      </c>
      <c r="M26" s="3"/>
      <c r="N26" s="7">
        <v>20</v>
      </c>
      <c r="O26" s="6">
        <v>-2080</v>
      </c>
      <c r="P26" s="6">
        <v>160</v>
      </c>
      <c r="Q26" s="5">
        <f t="shared" si="3"/>
        <v>-39.2452830188679</v>
      </c>
      <c r="R26" s="5">
        <f t="shared" si="4"/>
        <v>0.0356782222222222</v>
      </c>
      <c r="S26" s="3" t="s">
        <v>53</v>
      </c>
      <c r="V26" s="6">
        <v>-2080</v>
      </c>
      <c r="W26" s="6">
        <v>160</v>
      </c>
      <c r="X26" s="6"/>
    </row>
    <row r="27" ht="27" spans="1:24">
      <c r="A27" s="5">
        <v>11</v>
      </c>
      <c r="B27" s="7">
        <v>11</v>
      </c>
      <c r="C27" s="7">
        <v>1296</v>
      </c>
      <c r="D27" s="7">
        <v>864</v>
      </c>
      <c r="E27" s="5">
        <f t="shared" si="0"/>
        <v>0.207547169811321</v>
      </c>
      <c r="F27" s="5">
        <f t="shared" si="1"/>
        <v>0.2889936</v>
      </c>
      <c r="G27" s="5">
        <f t="shared" si="2"/>
        <v>1.39242370909091</v>
      </c>
      <c r="K27" s="3">
        <v>11</v>
      </c>
      <c r="L27" s="8" t="s">
        <v>57</v>
      </c>
      <c r="N27" s="7">
        <v>20</v>
      </c>
      <c r="O27" s="6">
        <v>2280</v>
      </c>
      <c r="P27" s="6">
        <v>480</v>
      </c>
      <c r="Q27" s="5">
        <f t="shared" si="3"/>
        <v>43.0188679245283</v>
      </c>
      <c r="R27" s="5">
        <f t="shared" si="4"/>
        <v>0.107034666666667</v>
      </c>
      <c r="S27" s="3" t="s">
        <v>58</v>
      </c>
      <c r="V27" s="6">
        <v>2280</v>
      </c>
      <c r="W27" s="6">
        <v>480</v>
      </c>
      <c r="X27" s="6"/>
    </row>
    <row r="28" ht="13" customHeight="1" spans="1:24">
      <c r="A28" s="5">
        <v>12</v>
      </c>
      <c r="B28" s="6">
        <v>12</v>
      </c>
      <c r="C28" s="7">
        <v>1408</v>
      </c>
      <c r="D28" s="7">
        <v>944</v>
      </c>
      <c r="E28" s="5">
        <f t="shared" si="0"/>
        <v>0.226415094339623</v>
      </c>
      <c r="F28" s="5">
        <f t="shared" si="1"/>
        <v>0.313968355555556</v>
      </c>
      <c r="G28" s="5">
        <f t="shared" si="2"/>
        <v>1.38669357037037</v>
      </c>
      <c r="K28" s="3">
        <v>12</v>
      </c>
      <c r="L28" s="8" t="s">
        <v>59</v>
      </c>
      <c r="M28" s="3"/>
      <c r="N28" s="7">
        <v>20</v>
      </c>
      <c r="O28" s="6">
        <v>-2320</v>
      </c>
      <c r="P28" s="6">
        <v>-460</v>
      </c>
      <c r="Q28" s="5">
        <f t="shared" si="3"/>
        <v>-43.7735849056604</v>
      </c>
      <c r="R28" s="5">
        <f t="shared" si="4"/>
        <v>-0.102574888888889</v>
      </c>
      <c r="S28" s="3" t="s">
        <v>58</v>
      </c>
      <c r="V28" s="6">
        <v>-2320</v>
      </c>
      <c r="W28" s="6">
        <v>-460</v>
      </c>
      <c r="X28" s="6"/>
    </row>
    <row r="29" ht="15" customHeight="1" spans="1:24">
      <c r="A29" s="5">
        <v>13</v>
      </c>
      <c r="B29" s="6">
        <v>13</v>
      </c>
      <c r="C29" s="7">
        <v>1528</v>
      </c>
      <c r="D29" s="7">
        <v>1024</v>
      </c>
      <c r="E29" s="5">
        <f t="shared" si="0"/>
        <v>0.245283018867925</v>
      </c>
      <c r="F29" s="5">
        <f t="shared" si="1"/>
        <v>0.340727022222222</v>
      </c>
      <c r="G29" s="5">
        <f t="shared" si="2"/>
        <v>1.38911785982906</v>
      </c>
    </row>
    <row r="30" ht="19" customHeight="1" spans="1:24">
      <c r="A30" s="5">
        <v>14</v>
      </c>
      <c r="B30" s="7">
        <v>14</v>
      </c>
      <c r="C30" s="7">
        <v>1640</v>
      </c>
      <c r="D30" s="7">
        <v>1104</v>
      </c>
      <c r="E30" s="5">
        <f t="shared" si="0"/>
        <v>0.264150943396226</v>
      </c>
      <c r="F30" s="5">
        <f t="shared" si="1"/>
        <v>0.365701777777778</v>
      </c>
      <c r="G30" s="5">
        <f t="shared" si="2"/>
        <v>1.38444244444444</v>
      </c>
      <c r="K30" s="9" t="s">
        <v>60</v>
      </c>
      <c r="L30" s="9"/>
      <c r="M30" s="9"/>
      <c r="N30" s="9"/>
      <c r="O30" s="9"/>
      <c r="P30" s="9"/>
      <c r="Q30" s="9"/>
      <c r="R30" s="9"/>
    </row>
    <row r="31" ht="13" customHeight="1" spans="1:24">
      <c r="A31" s="5">
        <v>15</v>
      </c>
      <c r="B31" s="6">
        <v>15</v>
      </c>
      <c r="C31" s="7">
        <v>1752</v>
      </c>
      <c r="D31" s="7">
        <v>1176</v>
      </c>
      <c r="E31" s="5">
        <f t="shared" si="0"/>
        <v>0.283018867924528</v>
      </c>
      <c r="F31" s="5">
        <f t="shared" si="1"/>
        <v>0.390676533333333</v>
      </c>
      <c r="G31" s="5">
        <f t="shared" si="2"/>
        <v>1.38039041777778</v>
      </c>
      <c r="K31" s="2" t="s">
        <v>61</v>
      </c>
      <c r="L31" s="2" t="s">
        <v>62</v>
      </c>
      <c r="M31" s="2" t="s">
        <v>63</v>
      </c>
      <c r="N31" s="2" t="s">
        <v>27</v>
      </c>
      <c r="O31" s="2" t="s">
        <v>64</v>
      </c>
      <c r="P31" s="2" t="s">
        <v>65</v>
      </c>
      <c r="Q31" s="2" t="s">
        <v>66</v>
      </c>
      <c r="R31" s="2"/>
    </row>
    <row r="32" ht="16.5" spans="1:24">
      <c r="A32" s="5">
        <v>16</v>
      </c>
      <c r="B32" s="6">
        <v>16</v>
      </c>
      <c r="C32" s="7">
        <v>1864</v>
      </c>
      <c r="D32" s="7">
        <v>1264</v>
      </c>
      <c r="E32" s="5">
        <f t="shared" si="0"/>
        <v>0.30188679245283</v>
      </c>
      <c r="F32" s="5">
        <f t="shared" si="1"/>
        <v>0.415651288888889</v>
      </c>
      <c r="G32" s="5">
        <f t="shared" si="2"/>
        <v>1.37684489444444</v>
      </c>
      <c r="K32" s="3">
        <v>1</v>
      </c>
      <c r="L32" s="3">
        <v>1000</v>
      </c>
      <c r="M32" s="3"/>
      <c r="N32" s="3">
        <v>10</v>
      </c>
      <c r="O32" s="3"/>
      <c r="P32" s="3"/>
      <c r="Q32" s="3"/>
      <c r="R32" s="3"/>
    </row>
    <row r="33" ht="16.5" spans="1:18">
      <c r="A33" s="5">
        <v>17</v>
      </c>
      <c r="B33" s="7">
        <v>17</v>
      </c>
      <c r="C33" s="7">
        <v>1980</v>
      </c>
      <c r="D33" s="7">
        <v>1336</v>
      </c>
      <c r="E33" s="5">
        <f t="shared" si="0"/>
        <v>0.320754716981132</v>
      </c>
      <c r="F33" s="5">
        <f t="shared" si="1"/>
        <v>0.441518</v>
      </c>
      <c r="G33" s="5">
        <f t="shared" si="2"/>
        <v>1.37649729411765</v>
      </c>
      <c r="K33" s="3">
        <v>2</v>
      </c>
      <c r="L33" s="3"/>
      <c r="M33" s="3"/>
      <c r="N33" s="3"/>
      <c r="O33" s="3"/>
      <c r="P33" s="3"/>
      <c r="Q33" s="3"/>
      <c r="R33" s="3"/>
    </row>
    <row r="34" ht="16.5" spans="1:18">
      <c r="A34" s="5">
        <v>18</v>
      </c>
      <c r="B34" s="6">
        <v>18</v>
      </c>
      <c r="C34" s="7">
        <v>2120</v>
      </c>
      <c r="D34" s="7">
        <v>1460</v>
      </c>
      <c r="E34" s="5">
        <f t="shared" si="0"/>
        <v>0.339622641509434</v>
      </c>
      <c r="F34" s="5">
        <f t="shared" si="1"/>
        <v>0.472736444444444</v>
      </c>
      <c r="G34" s="5">
        <f t="shared" si="2"/>
        <v>1.39194619753086</v>
      </c>
      <c r="K34" s="3">
        <v>3</v>
      </c>
      <c r="L34" s="3"/>
      <c r="M34" s="3"/>
      <c r="N34" s="3"/>
      <c r="O34" s="3"/>
      <c r="P34" s="3"/>
      <c r="Q34" s="3"/>
      <c r="R34" s="3"/>
    </row>
    <row r="35" ht="13" customHeight="1" spans="1:18">
      <c r="A35" s="5">
        <v>19</v>
      </c>
      <c r="B35" s="6">
        <v>19</v>
      </c>
      <c r="C35" s="7">
        <v>2220</v>
      </c>
      <c r="D35" s="7">
        <v>1540</v>
      </c>
      <c r="E35" s="5">
        <f t="shared" si="0"/>
        <v>0.358490566037736</v>
      </c>
      <c r="F35" s="5">
        <f t="shared" si="1"/>
        <v>0.495035333333333</v>
      </c>
      <c r="G35" s="5">
        <f t="shared" si="2"/>
        <v>1.38088803508772</v>
      </c>
    </row>
    <row r="36" spans="1:18">
      <c r="A36" s="5">
        <v>20</v>
      </c>
      <c r="B36" s="7">
        <v>20</v>
      </c>
      <c r="C36" s="7">
        <v>2340</v>
      </c>
      <c r="D36" s="7">
        <v>1568</v>
      </c>
      <c r="E36" s="5">
        <f t="shared" si="0"/>
        <v>0.377358490566038</v>
      </c>
      <c r="F36" s="5">
        <f t="shared" si="1"/>
        <v>0.521794</v>
      </c>
      <c r="G36" s="5">
        <f t="shared" si="2"/>
        <v>1.3827541</v>
      </c>
    </row>
    <row r="37" ht="16.5" spans="1:18">
      <c r="A37" s="3"/>
    </row>
    <row r="38" ht="16.5" spans="1:18">
      <c r="A38" s="3"/>
    </row>
    <row r="39" ht="16.5" spans="1:18">
      <c r="B39" s="2" t="s">
        <v>27</v>
      </c>
      <c r="C39" s="2" t="s">
        <v>28</v>
      </c>
      <c r="D39" s="2" t="s">
        <v>29</v>
      </c>
      <c r="F39" s="2" t="s">
        <v>30</v>
      </c>
      <c r="G39" s="2" t="s">
        <v>31</v>
      </c>
      <c r="H39" s="2" t="s">
        <v>32</v>
      </c>
    </row>
    <row r="40" ht="16.5" spans="1:18">
      <c r="B40" s="5">
        <v>1</v>
      </c>
      <c r="C40" s="6">
        <v>118</v>
      </c>
      <c r="D40" s="6">
        <v>82</v>
      </c>
      <c r="E40" s="7"/>
      <c r="F40" s="5">
        <f t="shared" ref="F40:F59" si="5">C40*10^-3*120/(100*0.0636)</f>
        <v>2.22641509433962</v>
      </c>
      <c r="G40" s="5">
        <f t="shared" ref="G40:G59" si="6">D40*10^-3*298.9*0.0000047/(120*0.0000525)</f>
        <v>0.0182850888888889</v>
      </c>
      <c r="H40" s="5">
        <f t="shared" ref="H40:H59" si="7">G40/F40</f>
        <v>0.00821279416195857</v>
      </c>
    </row>
    <row r="41" ht="16.5" spans="1:18">
      <c r="B41" s="5">
        <v>2</v>
      </c>
      <c r="C41" s="6">
        <v>240</v>
      </c>
      <c r="D41" s="6">
        <v>164</v>
      </c>
      <c r="E41" s="6"/>
      <c r="F41" s="5">
        <f t="shared" si="5"/>
        <v>4.52830188679245</v>
      </c>
      <c r="G41" s="5">
        <f t="shared" si="6"/>
        <v>0.0365701777777778</v>
      </c>
      <c r="H41" s="5">
        <f t="shared" si="7"/>
        <v>0.00807591425925926</v>
      </c>
    </row>
    <row r="42" ht="16.5" spans="1:18">
      <c r="B42" s="5">
        <v>3</v>
      </c>
      <c r="C42" s="6">
        <v>360</v>
      </c>
      <c r="D42" s="6">
        <v>248</v>
      </c>
      <c r="E42" s="7"/>
      <c r="F42" s="5">
        <f t="shared" si="5"/>
        <v>6.79245283018868</v>
      </c>
      <c r="G42" s="5">
        <f t="shared" si="6"/>
        <v>0.0553012444444444</v>
      </c>
      <c r="H42" s="5">
        <f t="shared" si="7"/>
        <v>0.00814157209876543</v>
      </c>
    </row>
    <row r="43" ht="16.5" spans="1:18">
      <c r="B43" s="5">
        <v>4</v>
      </c>
      <c r="C43" s="6">
        <v>472</v>
      </c>
      <c r="D43" s="6">
        <v>316</v>
      </c>
      <c r="E43" s="6"/>
      <c r="F43" s="5">
        <f t="shared" si="5"/>
        <v>8.90566037735849</v>
      </c>
      <c r="G43" s="5">
        <f t="shared" si="6"/>
        <v>0.0704644888888889</v>
      </c>
      <c r="H43" s="5">
        <f t="shared" si="7"/>
        <v>0.00791232608286252</v>
      </c>
    </row>
    <row r="44" ht="38" customHeight="1" spans="1:18">
      <c r="B44" s="5">
        <v>5</v>
      </c>
      <c r="C44" s="6">
        <v>588</v>
      </c>
      <c r="D44" s="6">
        <v>392</v>
      </c>
      <c r="E44" s="6"/>
      <c r="F44" s="5">
        <f t="shared" si="5"/>
        <v>11.0943396226415</v>
      </c>
      <c r="G44" s="5">
        <f t="shared" si="6"/>
        <v>0.0874116444444444</v>
      </c>
      <c r="H44" s="5">
        <f t="shared" si="7"/>
        <v>0.00787894074074074</v>
      </c>
    </row>
    <row r="45" ht="16.5" spans="1:18">
      <c r="B45" s="5">
        <v>6</v>
      </c>
      <c r="C45" s="6">
        <v>712</v>
      </c>
      <c r="D45" s="6">
        <v>480</v>
      </c>
      <c r="E45" s="7"/>
      <c r="F45" s="5">
        <f t="shared" si="5"/>
        <v>13.4339622641509</v>
      </c>
      <c r="G45" s="5">
        <f t="shared" si="6"/>
        <v>0.107034666666667</v>
      </c>
      <c r="H45" s="5">
        <f t="shared" si="7"/>
        <v>0.00796746816479401</v>
      </c>
    </row>
    <row r="46" ht="16.5" spans="1:18">
      <c r="B46" s="5">
        <v>7</v>
      </c>
      <c r="C46" s="6">
        <v>824</v>
      </c>
      <c r="D46" s="6">
        <v>552</v>
      </c>
      <c r="E46" s="6"/>
      <c r="F46" s="5">
        <f t="shared" si="5"/>
        <v>15.5471698113208</v>
      </c>
      <c r="G46" s="5">
        <f t="shared" si="6"/>
        <v>0.123089866666667</v>
      </c>
      <c r="H46" s="5">
        <f t="shared" si="7"/>
        <v>0.00791718802588997</v>
      </c>
    </row>
    <row r="47" ht="16.5" spans="1:18">
      <c r="B47" s="5">
        <v>8</v>
      </c>
      <c r="C47" s="6">
        <v>952</v>
      </c>
      <c r="D47" s="6">
        <v>632</v>
      </c>
      <c r="E47" s="6"/>
      <c r="F47" s="5">
        <f t="shared" si="5"/>
        <v>17.9622641509434</v>
      </c>
      <c r="G47" s="5">
        <f t="shared" si="6"/>
        <v>0.140928977777778</v>
      </c>
      <c r="H47" s="5">
        <f t="shared" si="7"/>
        <v>0.00784583594771242</v>
      </c>
    </row>
    <row r="48" ht="16.5" spans="1:18">
      <c r="B48" s="5">
        <v>9</v>
      </c>
      <c r="C48" s="6">
        <v>1064</v>
      </c>
      <c r="D48" s="6">
        <v>708</v>
      </c>
      <c r="E48" s="6"/>
      <c r="F48" s="5">
        <f t="shared" si="5"/>
        <v>20.0754716981132</v>
      </c>
      <c r="G48" s="5">
        <f t="shared" si="6"/>
        <v>0.157876133333333</v>
      </c>
      <c r="H48" s="5">
        <f t="shared" si="7"/>
        <v>0.00786413070175438</v>
      </c>
    </row>
    <row r="49" ht="16.5" spans="2:8">
      <c r="B49" s="5">
        <v>10</v>
      </c>
      <c r="C49" s="6">
        <v>1167</v>
      </c>
      <c r="D49" s="6">
        <v>792</v>
      </c>
      <c r="E49" s="6"/>
      <c r="F49" s="5">
        <f t="shared" si="5"/>
        <v>22.0188679245283</v>
      </c>
      <c r="G49" s="5">
        <f t="shared" si="6"/>
        <v>0.1766072</v>
      </c>
      <c r="H49" s="5">
        <f t="shared" si="7"/>
        <v>0.00802072116538132</v>
      </c>
    </row>
    <row r="50" ht="16.5" spans="2:8">
      <c r="B50" s="5">
        <v>11</v>
      </c>
      <c r="C50" s="7">
        <v>1296</v>
      </c>
      <c r="D50" s="7">
        <v>864</v>
      </c>
      <c r="E50" s="6"/>
      <c r="F50" s="5">
        <f t="shared" si="5"/>
        <v>24.4528301886792</v>
      </c>
      <c r="G50" s="5">
        <f t="shared" si="6"/>
        <v>0.1926624</v>
      </c>
      <c r="H50" s="5">
        <f t="shared" si="7"/>
        <v>0.00787894074074074</v>
      </c>
    </row>
    <row r="51" ht="16.5" spans="2:8">
      <c r="B51" s="5">
        <v>12</v>
      </c>
      <c r="C51" s="7">
        <v>1408</v>
      </c>
      <c r="D51" s="7">
        <v>944</v>
      </c>
      <c r="E51" s="6"/>
      <c r="F51" s="5">
        <f t="shared" si="5"/>
        <v>26.5660377358491</v>
      </c>
      <c r="G51" s="5">
        <f t="shared" si="6"/>
        <v>0.210501511111111</v>
      </c>
      <c r="H51" s="5">
        <f t="shared" si="7"/>
        <v>0.00792370744949495</v>
      </c>
    </row>
    <row r="52" spans="2:8">
      <c r="B52" s="5">
        <v>13</v>
      </c>
      <c r="C52" s="7">
        <v>1528</v>
      </c>
      <c r="D52" s="7">
        <v>1024</v>
      </c>
      <c r="E52" s="7"/>
      <c r="F52" s="5">
        <f t="shared" si="5"/>
        <v>28.8301886792453</v>
      </c>
      <c r="G52" s="5">
        <f t="shared" si="6"/>
        <v>0.228340622222222</v>
      </c>
      <c r="H52" s="5">
        <f t="shared" si="7"/>
        <v>0.00792019173938336</v>
      </c>
    </row>
    <row r="53" spans="2:8">
      <c r="B53" s="5">
        <v>14</v>
      </c>
      <c r="C53" s="7">
        <v>1640</v>
      </c>
      <c r="D53" s="7">
        <v>1104</v>
      </c>
      <c r="E53" s="7"/>
      <c r="F53" s="5">
        <f t="shared" si="5"/>
        <v>30.9433962264151</v>
      </c>
      <c r="G53" s="5">
        <f t="shared" si="6"/>
        <v>0.246179733333333</v>
      </c>
      <c r="H53" s="5">
        <f t="shared" si="7"/>
        <v>0.00795580845528455</v>
      </c>
    </row>
    <row r="54" spans="2:8">
      <c r="B54" s="5">
        <v>15</v>
      </c>
      <c r="C54" s="7">
        <v>1752</v>
      </c>
      <c r="D54" s="7">
        <v>1176</v>
      </c>
      <c r="E54" s="7"/>
      <c r="F54" s="5">
        <f t="shared" si="5"/>
        <v>33.0566037735849</v>
      </c>
      <c r="G54" s="5">
        <f t="shared" si="6"/>
        <v>0.262234933333333</v>
      </c>
      <c r="H54" s="5">
        <f t="shared" si="7"/>
        <v>0.00793290608828006</v>
      </c>
    </row>
    <row r="55" spans="2:8">
      <c r="B55" s="5">
        <v>16</v>
      </c>
      <c r="C55" s="7">
        <v>1864</v>
      </c>
      <c r="D55" s="7">
        <v>1264</v>
      </c>
      <c r="E55" s="7"/>
      <c r="F55" s="5">
        <f t="shared" si="5"/>
        <v>35.1698113207547</v>
      </c>
      <c r="G55" s="5">
        <f t="shared" si="6"/>
        <v>0.281857955555556</v>
      </c>
      <c r="H55" s="5">
        <f t="shared" si="7"/>
        <v>0.00801420152598951</v>
      </c>
    </row>
    <row r="56" spans="2:8">
      <c r="B56" s="5">
        <v>17</v>
      </c>
      <c r="C56" s="7">
        <v>1980</v>
      </c>
      <c r="D56" s="7">
        <v>1336</v>
      </c>
      <c r="E56" s="7"/>
      <c r="F56" s="5">
        <f t="shared" si="5"/>
        <v>37.3584905660377</v>
      </c>
      <c r="G56" s="5">
        <f t="shared" si="6"/>
        <v>0.297913155555556</v>
      </c>
      <c r="H56" s="5">
        <f t="shared" si="7"/>
        <v>0.00797444305274972</v>
      </c>
    </row>
    <row r="57" spans="2:8">
      <c r="B57" s="5">
        <v>18</v>
      </c>
      <c r="C57" s="7">
        <v>2120</v>
      </c>
      <c r="D57" s="7">
        <v>1460</v>
      </c>
      <c r="E57" s="7"/>
      <c r="F57" s="5">
        <f t="shared" si="5"/>
        <v>40</v>
      </c>
      <c r="G57" s="5">
        <f t="shared" si="6"/>
        <v>0.325563777777778</v>
      </c>
      <c r="H57" s="5">
        <f t="shared" si="7"/>
        <v>0.00813909444444444</v>
      </c>
    </row>
    <row r="58" spans="2:8">
      <c r="B58" s="5">
        <v>19</v>
      </c>
      <c r="C58" s="7">
        <v>2220</v>
      </c>
      <c r="D58" s="7">
        <v>1540</v>
      </c>
      <c r="E58" s="7"/>
      <c r="F58" s="5">
        <f t="shared" si="5"/>
        <v>41.8867924528302</v>
      </c>
      <c r="G58" s="5">
        <f t="shared" si="6"/>
        <v>0.343402888888889</v>
      </c>
      <c r="H58" s="5">
        <f t="shared" si="7"/>
        <v>0.00819835725725726</v>
      </c>
    </row>
    <row r="59" spans="2:8">
      <c r="B59" s="5">
        <v>20</v>
      </c>
      <c r="C59" s="7">
        <v>2340</v>
      </c>
      <c r="D59" s="7">
        <v>1568</v>
      </c>
      <c r="E59" s="7"/>
      <c r="F59" s="5">
        <f t="shared" si="5"/>
        <v>44.1509433962264</v>
      </c>
      <c r="G59" s="5">
        <f t="shared" si="6"/>
        <v>0.349646577777778</v>
      </c>
      <c r="H59" s="5">
        <f t="shared" si="7"/>
        <v>0.00791934556505223</v>
      </c>
    </row>
  </sheetData>
  <mergeCells count="3">
    <mergeCell ref="A15:G15"/>
    <mergeCell ref="K15:S15"/>
    <mergeCell ref="K30:Q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2025-11-07T02:03:50Z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C1CC4AFB396C465F8422E92D98371870_12</vt:lpwstr>
  </property>
</Properties>
</file>