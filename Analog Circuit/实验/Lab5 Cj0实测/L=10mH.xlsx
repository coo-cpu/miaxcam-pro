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<sst xmlns="http://schemas.openxmlformats.org/spreadsheetml/2006/main" count="19" uniqueCount="15">
  <si>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r>
      <t>VDC</t>
    </r>
    <r>
      <rPr>
        <b/>
        <sz val="20"/>
        <color theme="1"/>
        <rFont val="宋体"/>
        <charset val="134"/>
      </rPr>
      <t>（</t>
    </r>
    <r>
      <rPr>
        <b/>
        <sz val="20"/>
        <color theme="1"/>
        <rFont val="Times New Roman"/>
        <charset val="134"/>
      </rPr>
      <t>V</t>
    </r>
    <r>
      <rPr>
        <b/>
        <sz val="20"/>
        <color theme="1"/>
        <rFont val="宋体"/>
        <charset val="134"/>
      </rPr>
      <t>）</t>
    </r>
  </si>
  <si>
    <t>Cj0(pF) for 5</t>
  </si>
  <si>
    <t>Cj0(pF) for 3</t>
  </si>
  <si>
    <t>Vdc=1V</t>
  </si>
  <si>
    <t>Vdc=2V</t>
  </si>
  <si>
    <t>Vdc=3V</t>
  </si>
  <si>
    <t>Vdc=4V</t>
  </si>
  <si>
    <t>Vdc=5V</t>
  </si>
  <si>
    <r>
      <t>f</t>
    </r>
    <r>
      <rPr>
        <b/>
        <sz val="18"/>
        <color rgb="FF000000"/>
        <rFont val="Times New Roman"/>
        <charset val="134"/>
      </rPr>
      <t>（kHz）</t>
    </r>
  </si>
  <si>
    <r>
      <t>Cj</t>
    </r>
    <r>
      <rPr>
        <b/>
        <sz val="18"/>
        <color rgb="FF000000"/>
        <rFont val="Times New Roman"/>
        <charset val="134"/>
      </rPr>
      <t>（pF）</t>
    </r>
  </si>
  <si>
    <r>
      <t>1/Cj*Cj</t>
    </r>
    <r>
      <rPr>
        <b/>
        <sz val="18"/>
        <color rgb="FF000000"/>
        <rFont val="宋体"/>
        <charset val="134"/>
      </rPr>
      <t>（</t>
    </r>
    <r>
      <rPr>
        <b/>
        <sz val="18"/>
        <color rgb="FF000000"/>
        <rFont val="Times New Roman"/>
        <charset val="134"/>
      </rPr>
      <t>pF^2</t>
    </r>
    <r>
      <rPr>
        <b/>
        <sz val="18"/>
        <color rgb="FF000000"/>
        <rFont val="宋体"/>
        <charset val="134"/>
      </rPr>
      <t>）</t>
    </r>
  </si>
  <si>
    <r>
      <t>Cj1</t>
    </r>
    <r>
      <rPr>
        <b/>
        <sz val="18"/>
        <color rgb="FF000000"/>
        <rFont val="宋体"/>
        <charset val="134"/>
      </rPr>
      <t>（</t>
    </r>
    <r>
      <rPr>
        <b/>
        <sz val="18"/>
        <color rgb="FF000000"/>
        <rFont val="Times New Roman"/>
        <charset val="134"/>
      </rPr>
      <t>pF</t>
    </r>
    <r>
      <rPr>
        <b/>
        <sz val="18"/>
        <color rgb="FF000000"/>
        <rFont val="宋体"/>
        <charset val="134"/>
      </rPr>
      <t>）</t>
    </r>
  </si>
  <si>
    <t>1/CJ*Cj(pF^-2)</t>
  </si>
  <si>
    <t>1/CJ*Cj-VDC</t>
  </si>
  <si>
    <t>Vd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</si>
</sst>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24"/>
      <color rgb="FFFFFFFF"/>
      <name val="Times New Roman"/>
      <charset val="134"/>
    </font>
    <font>
      <b/>
      <sz val="24"/>
      <color rgb="FF000000"/>
      <name val="Times New Roman"/>
      <charset val="134"/>
    </font>
    <font>
      <b/>
      <sz val="20"/>
      <color theme="1"/>
      <name val="Times New Roman"/>
      <charset val="134"/>
    </font>
    <font>
      <b/>
      <sz val="24"/>
      <color rgb="FFC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rgb="FF000000"/>
      <name val="Times New Roman"/>
      <charset val="134"/>
    </font>
    <font>
      <b/>
      <sz val="20"/>
      <color theme="1"/>
      <name val="宋体"/>
      <charset val="134"/>
    </font>
    <font>
      <b/>
      <sz val="18"/>
      <color rgb="FF00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EAEF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5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6" borderId="5">
      <alignment vertical="center"/>
    </xf>
    <xf numFmtId="0" fontId="15" fillId="7" borderId="6">
      <alignment vertical="center"/>
    </xf>
    <xf numFmtId="0" fontId="16" fillId="7" borderId="5">
      <alignment vertical="center"/>
    </xf>
    <xf numFmtId="0" fontId="17" fillId="8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3" fillId="35" borderId="0">
      <alignment vertical="center"/>
    </xf>
  </cellStyleXfs>
  <cellXfs count="10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3" fillId="4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11" fontId="3" fillId="3" borderId="1" xfId="0" applyNumberFormat="1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t>1/CJ*Cj-Vdc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1"/>
          <c:order val="0"/>
          <c:tx>
            <c:strRef>
              <c:f>"1/CJ*Cj"</c:f>
              <c:strCache>
                <c:ptCount val="1"/>
                <c:pt idx="0">
                  <c:v>1/CJ*Cj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25400" dir="5400000" algn="t" rotWithShape="0">
                <a:schemeClr val="accent1">
                  <a:lumMod val="75000"/>
                  <a:alpha val="30000"/>
                </a:schemeClr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>
                <a:outerShdw blurRad="50800" dist="25400" dir="5400000" algn="t" rotWithShape="0">
                  <a:schemeClr val="accent1">
                    <a:lumMod val="75000"/>
                    <a:alpha val="30000"/>
                  </a:schemeClr>
                </a:outerShdw>
              </a:effectLst>
            </c:spPr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Sheet1!$C$5:$G$5</c:f>
              <c:numCache>
                <c:formatCode>0.00E+00</c:formatCode>
                <c:ptCount val="5"/>
                <c:pt idx="0">
                  <c:v>8.16326530612245e-6</c:v>
                </c:pt>
                <c:pt idx="1">
                  <c:v>1.29392888566844e-5</c:v>
                </c:pt>
                <c:pt idx="2">
                  <c:v>1.53787004998078e-5</c:v>
                </c:pt>
                <c:pt idx="3">
                  <c:v>1.67965600644988e-5</c:v>
                </c:pt>
                <c:pt idx="4">
                  <c:v>1.78034146949385e-5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11415773"/>
        <c:axId val="152476940"/>
      </c:lineChart>
      <c:catAx>
        <c:axId val="5114157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152476940"/>
        <c:crosses val="autoZero"/>
        <c:auto val="1"/>
        <c:lblAlgn val="ctr"/>
        <c:lblOffset val="0"/>
        <c:noMultiLvlLbl val="0"/>
      </c:catAx>
      <c:valAx>
        <c:axId val="152476940"/>
        <c:scaling>
          <c:orientation val="minMax"/>
        </c:scaling>
        <c:delete val="1"/>
        <c:axPos val="l"/>
        <c:numFmt formatCode="0.00E+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141577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defRPr>
          </a:pPr>
        </a:p>
      </c:txPr>
    </c:legend>
    <c:plotVisOnly val="1"/>
    <c:dispBlanksAs val="zero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124157894736842"/>
          <c:y val="0.180555555555556"/>
          <c:w val="0.846894736842105"/>
          <c:h val="0.605648148148148"/>
        </c:manualLayout>
      </c:layout>
      <c:lineChart>
        <c:grouping val="standard"/>
        <c:varyColors val="0"/>
        <c:ser>
          <c:idx val="0"/>
          <c:order val="0"/>
          <c:tx>
            <c:strRef>
              <c:f>Sheet1!$B$30</c:f>
              <c:strCache>
                <c:ptCount val="1"/>
                <c:pt idx="0">
                  <c:v>1/CJ*Cj-VDC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00817438692098093"/>
                  <c:y val="0.214066102997694"/>
                </c:manualLayout>
              </c:layout>
              <c:numFmt formatCode="0.00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val>
            <c:numRef>
              <c:f>Sheet1!$C$5:$G$5</c:f>
              <c:numCache>
                <c:formatCode>0.00E+00</c:formatCode>
                <c:ptCount val="5"/>
                <c:pt idx="0">
                  <c:v>8.16326530612245e-6</c:v>
                </c:pt>
                <c:pt idx="1">
                  <c:v>1.29392888566844e-5</c:v>
                </c:pt>
                <c:pt idx="2">
                  <c:v>1.53787004998078e-5</c:v>
                </c:pt>
                <c:pt idx="3">
                  <c:v>1.67965600644988e-5</c:v>
                </c:pt>
                <c:pt idx="4">
                  <c:v>1.78034146949385e-5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08616066"/>
        <c:axId val="617847297"/>
      </c:lineChart>
      <c:catAx>
        <c:axId val="90861606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Vdc(V)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7847297"/>
        <c:crosses val="autoZero"/>
        <c:auto val="1"/>
        <c:lblAlgn val="ctr"/>
        <c:lblOffset val="100"/>
        <c:noMultiLvlLbl val="0"/>
      </c:catAx>
      <c:valAx>
        <c:axId val="617847297"/>
        <c:scaling>
          <c:orientation val="minMax"/>
          <c:max val="1.8e-5"/>
          <c:min val="8e-6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1/CJ*Cj(pF^-2)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861606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124157894736842"/>
          <c:y val="0.180555555555556"/>
          <c:w val="0.846894736842105"/>
          <c:h val="0.605648148148148"/>
        </c:manualLayout>
      </c:layout>
      <c:lineChart>
        <c:grouping val="standard"/>
        <c:varyColors val="0"/>
        <c:ser>
          <c:idx val="0"/>
          <c:order val="0"/>
          <c:tx>
            <c:strRef>
              <c:f>Sheet1!$B$30</c:f>
              <c:strCache>
                <c:ptCount val="1"/>
                <c:pt idx="0">
                  <c:v>1/CJ*Cj-VDC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00817438692098093"/>
                  <c:y val="0.214066102997694"/>
                </c:manualLayout>
              </c:layout>
              <c:numFmt formatCode="0.00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cat>
            <c:numRef>
              <c:f>Sheet1!$D$2:$F$2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Sheet1!$D$5:$F$5</c:f>
              <c:numCache>
                <c:formatCode>0.00E+00</c:formatCode>
                <c:ptCount val="3"/>
                <c:pt idx="0">
                  <c:v>1.29392888566844e-5</c:v>
                </c:pt>
                <c:pt idx="1">
                  <c:v>1.53787004998078e-5</c:v>
                </c:pt>
                <c:pt idx="2">
                  <c:v>1.67965600644988e-5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08616066"/>
        <c:axId val="617847297"/>
      </c:lineChart>
      <c:catAx>
        <c:axId val="90861606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Vdc(V)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7847297"/>
        <c:crosses val="autoZero"/>
        <c:auto val="1"/>
        <c:lblAlgn val="ctr"/>
        <c:lblOffset val="100"/>
        <c:noMultiLvlLbl val="0"/>
      </c:catAx>
      <c:valAx>
        <c:axId val="617847297"/>
        <c:scaling>
          <c:orientation val="minMax"/>
          <c:max val="1.8e-5"/>
          <c:min val="8e-6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1/CJ*Cj(pF^-2)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861606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9970e9a-4603-4ac1-89ed-5003f0fc955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157894736842"/>
          <c:y val="0.180555555555556"/>
          <c:w val="0.846894736842105"/>
          <c:h val="0.605648148148148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12413244935583"/>
                  <c:y val="-0.00836663667642502"/>
                </c:manualLayout>
              </c:layout>
              <c:numFmt formatCode="0.00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(Sheet1!$C$6,Sheet1!$E$6:$G$6)</c:f>
              <c:numCache>
                <c:formatCode>General</c:formatCode>
                <c:ptCount val="4"/>
                <c:pt idx="0">
                  <c:v>65</c:v>
                </c:pt>
                <c:pt idx="1">
                  <c:v>17.5</c:v>
                </c:pt>
                <c:pt idx="2">
                  <c:v>12</c:v>
                </c:pt>
                <c:pt idx="3">
                  <c:v>8.5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08616066"/>
        <c:axId val="617847297"/>
      </c:lineChart>
      <c:catAx>
        <c:axId val="90861606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Vdc(V)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7847297"/>
        <c:crosses val="autoZero"/>
        <c:auto val="1"/>
        <c:lblAlgn val="ctr"/>
        <c:lblOffset val="100"/>
        <c:noMultiLvlLbl val="0"/>
      </c:catAx>
      <c:valAx>
        <c:axId val="61784729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1/CJ*Cj(pF^-2)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861606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9970e9a-4603-4ac1-89ed-5003f0fc955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7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>
      <cs:styleClr val="auto"/>
    </cs:effectRef>
    <cs:fontRef idx="minor">
      <a:schemeClr val="dk1"/>
    </cs:fontRef>
    <cs:spPr>
      <a:ln w="19050">
        <a:solidFill>
          <a:schemeClr val="lt1"/>
        </a:solidFill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213995</xdr:colOff>
      <xdr:row>28</xdr:row>
      <xdr:rowOff>87630</xdr:rowOff>
    </xdr:from>
    <xdr:to>
      <xdr:col>17</xdr:col>
      <xdr:colOff>239395</xdr:colOff>
      <xdr:row>44</xdr:row>
      <xdr:rowOff>87630</xdr:rowOff>
    </xdr:to>
    <xdr:graphicFrame>
      <xdr:nvGraphicFramePr>
        <xdr:cNvPr id="3" name="图表 2" descr="7b0a202020202263686172745265734964223a20223230343639363337220a7d0a"/>
        <xdr:cNvGraphicFramePr/>
      </xdr:nvGraphicFramePr>
      <xdr:xfrm>
        <a:off x="14377670" y="6815455"/>
        <a:ext cx="63976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2049145</xdr:colOff>
      <xdr:row>24</xdr:row>
      <xdr:rowOff>111760</xdr:rowOff>
    </xdr:from>
    <xdr:to>
      <xdr:col>5</xdr:col>
      <xdr:colOff>607695</xdr:colOff>
      <xdr:row>43</xdr:row>
      <xdr:rowOff>158750</xdr:rowOff>
    </xdr:to>
    <xdr:graphicFrame>
      <xdr:nvGraphicFramePr>
        <xdr:cNvPr id="4" name="图表 3"/>
        <xdr:cNvGraphicFramePr/>
      </xdr:nvGraphicFramePr>
      <xdr:xfrm>
        <a:off x="2734945" y="6153785"/>
        <a:ext cx="5826125" cy="33045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2029460</xdr:colOff>
      <xdr:row>45</xdr:row>
      <xdr:rowOff>33020</xdr:rowOff>
    </xdr:from>
    <xdr:to>
      <xdr:col>5</xdr:col>
      <xdr:colOff>588010</xdr:colOff>
      <xdr:row>64</xdr:row>
      <xdr:rowOff>80010</xdr:rowOff>
    </xdr:to>
    <xdr:graphicFrame>
      <xdr:nvGraphicFramePr>
        <xdr:cNvPr id="5" name="图表 4"/>
        <xdr:cNvGraphicFramePr/>
      </xdr:nvGraphicFramePr>
      <xdr:xfrm>
        <a:off x="2715260" y="9675495"/>
        <a:ext cx="5826125" cy="33045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631190</xdr:colOff>
      <xdr:row>26</xdr:row>
      <xdr:rowOff>29845</xdr:rowOff>
    </xdr:from>
    <xdr:to>
      <xdr:col>10</xdr:col>
      <xdr:colOff>247015</xdr:colOff>
      <xdr:row>45</xdr:row>
      <xdr:rowOff>76835</xdr:rowOff>
    </xdr:to>
    <xdr:graphicFrame>
      <xdr:nvGraphicFramePr>
        <xdr:cNvPr id="6" name="图表 5"/>
        <xdr:cNvGraphicFramePr/>
      </xdr:nvGraphicFramePr>
      <xdr:xfrm>
        <a:off x="8584565" y="6414770"/>
        <a:ext cx="5826125" cy="33045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R30"/>
  <sheetViews>
    <sheetView tabSelected="1" zoomScale="115" zoomScaleNormal="115" topLeftCell="B2" workbookViewId="0">
      <selection activeCell="H18" sqref="H18"/>
    </sheetView>
  </sheetViews>
  <sheetFormatPr defaultColWidth="9" defaultRowHeight="13.5"/>
  <cols>
    <col min="2" max="2" width="33.125" customWidth="1"/>
    <col min="3" max="3" width="21.375" customWidth="1"/>
    <col min="4" max="4" width="20.5" customWidth="1"/>
    <col min="5" max="5" width="20.375" customWidth="1"/>
    <col min="6" max="6" width="19.5" customWidth="1"/>
    <col min="7" max="7" width="22" customWidth="1"/>
    <col min="8" max="8" width="16.25" customWidth="1"/>
    <col min="9" max="9" width="14.75" customWidth="1"/>
    <col min="13" max="13" width="15.125" customWidth="1"/>
    <col min="14" max="18" width="12.625"/>
  </cols>
  <sheetData>
    <row r="1" ht="14.25"/>
    <row r="2" ht="60.75" spans="2:18">
      <c r="B2" s="4" t="s">
        <v>0</v>
      </c>
      <c r="C2" s="2">
        <v>1</v>
      </c>
      <c r="D2" s="2">
        <v>2</v>
      </c>
      <c r="E2" s="2">
        <v>3</v>
      </c>
      <c r="F2" s="2">
        <v>4</v>
      </c>
      <c r="G2" s="2">
        <v>5</v>
      </c>
      <c r="H2" t="s">
        <v>1</v>
      </c>
      <c r="I2" t="s">
        <v>2</v>
      </c>
      <c r="M2" s="5"/>
      <c r="N2" s="2" t="s">
        <v>3</v>
      </c>
      <c r="O2" s="2" t="s">
        <v>4</v>
      </c>
      <c r="P2" s="2" t="s">
        <v>5</v>
      </c>
      <c r="Q2" s="2" t="s">
        <v>6</v>
      </c>
      <c r="R2" s="2" t="s">
        <v>7</v>
      </c>
    </row>
    <row r="3" ht="43" customHeight="1" spans="2:18">
      <c r="B3" s="3" t="s">
        <v>8</v>
      </c>
      <c r="C3" s="3">
        <v>26.9</v>
      </c>
      <c r="D3" s="3">
        <v>30.2</v>
      </c>
      <c r="E3" s="3">
        <v>31.56</v>
      </c>
      <c r="F3" s="3">
        <v>32.26</v>
      </c>
      <c r="G3" s="3">
        <v>32.74</v>
      </c>
      <c r="H3">
        <v>371.19</v>
      </c>
      <c r="I3">
        <v>316.23</v>
      </c>
      <c r="M3" s="3" t="s">
        <v>8</v>
      </c>
      <c r="N3" s="3">
        <v>26.9</v>
      </c>
      <c r="O3" s="3">
        <v>30.2</v>
      </c>
      <c r="P3" s="3">
        <v>31.56</v>
      </c>
      <c r="Q3" s="3">
        <v>32.26</v>
      </c>
      <c r="R3" s="3">
        <v>32.74</v>
      </c>
    </row>
    <row r="4" ht="30.75" spans="2:18">
      <c r="B4" s="6" t="s">
        <v>9</v>
      </c>
      <c r="C4" s="6">
        <v>350</v>
      </c>
      <c r="D4" s="6">
        <v>278</v>
      </c>
      <c r="E4" s="6">
        <v>255</v>
      </c>
      <c r="F4" s="6">
        <v>244</v>
      </c>
      <c r="G4" s="6">
        <v>237</v>
      </c>
      <c r="H4">
        <f>(H3-220)/2</f>
        <v>75.595</v>
      </c>
      <c r="I4">
        <f>(I3-220)/2</f>
        <v>48.115</v>
      </c>
      <c r="M4" s="6" t="s">
        <v>9</v>
      </c>
      <c r="N4" s="6">
        <v>350</v>
      </c>
      <c r="O4" s="6">
        <v>278</v>
      </c>
      <c r="P4" s="6">
        <v>255</v>
      </c>
      <c r="Q4" s="6">
        <v>244</v>
      </c>
      <c r="R4" s="6">
        <v>237</v>
      </c>
    </row>
    <row r="5" ht="53.25" spans="2:18">
      <c r="B5" s="7" t="s">
        <v>10</v>
      </c>
      <c r="C5" s="8">
        <f>1/C4^2</f>
        <v>8.16326530612245e-6</v>
      </c>
      <c r="D5" s="8">
        <f>1/D4^2</f>
        <v>1.29392888566844e-5</v>
      </c>
      <c r="E5" s="8">
        <f>1/E4^2</f>
        <v>1.53787004998078e-5</v>
      </c>
      <c r="F5" s="8">
        <f>1/F4^2</f>
        <v>1.67965600644988e-5</v>
      </c>
      <c r="G5" s="8">
        <f>1/G4^2</f>
        <v>1.78034146949385e-5</v>
      </c>
      <c r="M5" s="7" t="s">
        <v>11</v>
      </c>
      <c r="N5" s="9">
        <v>65</v>
      </c>
      <c r="O5" s="3">
        <v>29</v>
      </c>
      <c r="P5" s="9">
        <v>17.5</v>
      </c>
      <c r="Q5" s="9">
        <v>12</v>
      </c>
      <c r="R5" s="9">
        <v>8.5</v>
      </c>
    </row>
    <row r="6" ht="30.75" spans="2:18">
      <c r="B6" s="7" t="s">
        <v>11</v>
      </c>
      <c r="C6" s="9">
        <v>65</v>
      </c>
      <c r="D6" s="3">
        <v>29</v>
      </c>
      <c r="E6" s="9">
        <v>17.5</v>
      </c>
      <c r="F6" s="9">
        <v>12</v>
      </c>
      <c r="G6" s="9">
        <v>8.5</v>
      </c>
    </row>
    <row r="7" spans="2:18">
      <c r="C7">
        <f>1/(C6)^2</f>
        <v>0.000236686390532544</v>
      </c>
      <c r="D7">
        <f>1/(D6)^2</f>
        <v>0.00118906064209275</v>
      </c>
      <c r="E7">
        <f>1/(E6)^2</f>
        <v>0.00326530612244898</v>
      </c>
      <c r="F7">
        <f>1/(F6)^2</f>
        <v>0.00694444444444444</v>
      </c>
      <c r="G7">
        <f>1/(G6)^2</f>
        <v>0.013840830449827</v>
      </c>
    </row>
    <row r="8" spans="2:18">
      <c r="B8" t="s">
        <v>12</v>
      </c>
    </row>
    <row r="30" spans="2:2">
      <c r="B30" t="s">
        <v>13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3"/>
  <sheetViews>
    <sheetView workbookViewId="0">
      <selection activeCell="F9" sqref="F9"/>
    </sheetView>
  </sheetViews>
  <sheetFormatPr defaultColWidth="9" defaultRowHeight="13.5" outlineLevelRow="2" outlineLevelCol="6"/>
  <cols>
    <col min="2" max="2" width="30.375" customWidth="1"/>
    <col min="3" max="3" width="23.25" customWidth="1"/>
    <col min="4" max="4" width="23.75" customWidth="1"/>
    <col min="5" max="5" width="22.125" customWidth="1"/>
    <col min="6" max="6" width="23.5" customWidth="1"/>
    <col min="7" max="7" width="25.5" customWidth="1"/>
  </cols>
  <sheetData>
    <row r="1" ht="14.25"/>
    <row r="2" ht="30.75" spans="2:7">
      <c r="B2" s="1" t="s">
        <v>14</v>
      </c>
      <c r="C2" s="2">
        <v>1</v>
      </c>
      <c r="D2" s="2">
        <v>2</v>
      </c>
      <c r="E2" s="2">
        <v>3</v>
      </c>
      <c r="F2" s="2">
        <v>4</v>
      </c>
      <c r="G2" s="2">
        <v>5</v>
      </c>
    </row>
    <row r="3" ht="30.75" spans="2:7">
      <c r="B3" s="3" t="s">
        <v>8</v>
      </c>
      <c r="C3" s="3">
        <v>29.7471</v>
      </c>
      <c r="D3" s="3">
        <v>30.6118</v>
      </c>
      <c r="E3" s="3">
        <v>31.0414</v>
      </c>
      <c r="F3" s="3">
        <v>31.3348</v>
      </c>
      <c r="G3" s="3">
        <v>31.5588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huang</cp:lastModifiedBy>
  <dcterms:created xsi:type="dcterms:W3CDTF">2023-05-12T11:15:00Z</dcterms:created>
  <dcterms:modified xsi:type="dcterms:W3CDTF">2025-12-12T16:58:50Z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2052-12.1.0.24031</vt:lpwstr>
  </property>
  <property fmtid="{D5CDD505-2E9C-101B-9397-08002B2CF9AE}" pid="3" name="ICV">
    <vt:lpwstr>8298E472FB014145B2FFD4727003DFA0_12</vt:lpwstr>
  </property>
  <property fmtid="{D5CDD505-2E9C-101B-9397-08002B2CF9AE}" pid="4" name="CalculationRule">
    <vt:i4>0</vt:i4>
  </property>
</Properties>
</file>