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<sst xmlns="http://schemas.openxmlformats.org/spreadsheetml/2006/main" count="9" uniqueCount="9">
  <si>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Digital Input（B）</t>
  </si>
  <si>
    <t>Vtheory（V）</t>
  </si>
  <si>
    <t>Vmeasure(V)</t>
  </si>
  <si>
    <t>DNL</t>
  </si>
  <si>
    <t>INL</t>
  </si>
  <si>
    <t>000</t>
  </si>
  <si>
    <t>001</t>
  </si>
  <si>
    <t>010</t>
  </si>
  <si>
    <t>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</si>
</sst>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14" sqref="F14"/>
    </sheetView>
  </sheetViews>
  <sheetFormatPr defaultColWidth="9" defaultRowHeight="13.5" outlineLevelCol="4"/>
  <cols>
    <col min="1" max="1" width="17.875" customWidth="1"/>
    <col min="2" max="2" width="11.75" customWidth="1"/>
    <col min="3" max="3" width="12.625" customWidth="1"/>
    <col min="4" max="4" width="13.75"/>
    <col min="5" max="5" width="12.62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 t="s">
        <v>5</v>
      </c>
      <c r="B2" s="2">
        <v>0.9</v>
      </c>
      <c r="C2" s="2">
        <v>0.902</v>
      </c>
      <c r="D2"/>
      <c r="E2" s="2">
        <f>(C2-B2)/0.074714</f>
        <v>0.0267687448135557</v>
      </c>
    </row>
    <row r="3" spans="1:5">
      <c r="A3" s="3" t="s">
        <v>6</v>
      </c>
      <c r="B3" s="2">
        <v>0.975</v>
      </c>
      <c r="C3" s="2">
        <v>1.004</v>
      </c>
      <c r="D3" s="2">
        <f>(C3-C2-0.075)/0.075</f>
        <v>0.36</v>
      </c>
      <c r="E3" s="2">
        <f t="shared" ref="E3:E9" si="0">(C3-B3)/0.074714</f>
        <v>0.388146799796558</v>
      </c>
    </row>
    <row r="4" spans="1:5">
      <c r="A4" s="3" t="s">
        <v>7</v>
      </c>
      <c r="B4" s="2">
        <v>1.05</v>
      </c>
      <c r="C4" s="2">
        <v>1.067</v>
      </c>
      <c r="D4" s="2">
        <f t="shared" ref="D4:D9" si="1">(C4-C3-0.075)/0.075</f>
        <v>-0.160000000000001</v>
      </c>
      <c r="E4" s="2">
        <f t="shared" si="0"/>
        <v>0.227534330915222</v>
      </c>
    </row>
    <row r="5" spans="1:5">
      <c r="A5" s="3" t="s">
        <v>8</v>
      </c>
      <c r="B5" s="2">
        <v>1.125</v>
      </c>
      <c r="C5" s="2">
        <v>1.129</v>
      </c>
      <c r="D5" s="2">
        <f t="shared" si="1"/>
        <v>-0.173333333333333</v>
      </c>
      <c r="E5" s="2">
        <f t="shared" si="0"/>
        <v>0.0535374896271114</v>
      </c>
    </row>
    <row r="6" spans="1:5">
      <c r="A6" s="1">
        <v>100</v>
      </c>
      <c r="B6" s="2">
        <v>1.2</v>
      </c>
      <c r="C6" s="2">
        <v>1.204</v>
      </c>
      <c r="D6" s="2">
        <f t="shared" si="1"/>
        <v>0</v>
      </c>
      <c r="E6" s="2">
        <f t="shared" si="0"/>
        <v>0.0535374896271114</v>
      </c>
    </row>
    <row r="7" spans="1:5">
      <c r="A7" s="1">
        <v>101</v>
      </c>
      <c r="B7" s="2">
        <v>1.275</v>
      </c>
      <c r="C7" s="2">
        <v>1.302</v>
      </c>
      <c r="D7" s="2">
        <f t="shared" si="1"/>
        <v>0.306666666666668</v>
      </c>
      <c r="E7" s="2">
        <f t="shared" si="0"/>
        <v>0.361378054983004</v>
      </c>
    </row>
    <row r="8" spans="1:5">
      <c r="A8" s="1">
        <v>110</v>
      </c>
      <c r="B8" s="2">
        <v>1.35</v>
      </c>
      <c r="C8" s="2">
        <v>1.366</v>
      </c>
      <c r="D8" s="2">
        <f t="shared" si="1"/>
        <v>-0.146666666666666</v>
      </c>
      <c r="E8" s="2">
        <f>(C8-B8)/0.074714</f>
        <v>0.214149958508446</v>
      </c>
    </row>
    <row r="9" spans="1:5">
      <c r="A9" s="1">
        <v>111</v>
      </c>
      <c r="B9" s="2">
        <v>1.425</v>
      </c>
      <c r="C9" s="2">
        <v>1.425</v>
      </c>
      <c r="D9" s="2">
        <f t="shared" si="1"/>
        <v>-0.213333333333334</v>
      </c>
      <c r="E9" s="2">
        <f t="shared" si="0"/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2023-05-12T11:15:00Z</dcterms:created>
  <dcterms:modified xsi:type="dcterms:W3CDTF">2026-01-10T02:01:00Z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C36662D7520A4B47BF37EC41D2C3CB0E_12</vt:lpwstr>
  </property>
  <property fmtid="{D5CDD505-2E9C-101B-9397-08002B2CF9AE}" pid="4" name="CalculationRule">
    <vt:i4>0</vt:i4>
  </property>
</Properties>
</file>